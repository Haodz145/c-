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Quản lí cán bộ" sheetId="3" r:id="rId6"/>
    <sheet state="visible" name="Layout QL cán bộ" sheetId="4" r:id="rId7"/>
    <sheet state="visible" name="Test Report" sheetId="5" r:id="rId8"/>
  </sheets>
  <definedNames>
    <definedName name="ACTION">#REF!</definedName>
  </definedNames>
  <calcPr/>
  <extLst>
    <ext uri="GoogleSheetsCustomDataVersion2">
      <go:sheetsCustomData xmlns:go="http://customooxmlschemas.google.com/" r:id="rId9" roundtripDataChecksum="+eLPd1YmPj8xxk0gZdbIuqiJBAgguEPQM1/xGn+u4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ID#AAABto1rsbA
    (2025-11-07 08:51:30)
Pass
Fail
Untested
N/A</t>
      </text>
    </comment>
  </commentList>
  <extLst>
    <ext uri="GoogleSheetsCustomDataVersion2">
      <go:sheetsCustomData xmlns:go="http://customooxmlschemas.google.com/" r:id="rId1" roundtripDataSignature="AMtx7mhqL1XfZamyfDNBaGazVQ+LbP7EIw=="/>
    </ext>
  </extLst>
</comments>
</file>

<file path=xl/sharedStrings.xml><?xml version="1.0" encoding="utf-8"?>
<sst xmlns="http://schemas.openxmlformats.org/spreadsheetml/2006/main" count="533" uniqueCount="409">
  <si>
    <t>TEST CASE</t>
  </si>
  <si>
    <t>Project Name</t>
  </si>
  <si>
    <t>Quản lí tiêm chủng cho gia súc và 
gia cầm cho các hộ chăn nuôi của 
quận/huyện</t>
  </si>
  <si>
    <t>Creator</t>
  </si>
  <si>
    <t>Võ Văn Hoan
Lê Thị Thanh Nga
Trương Thanh Hữu
Lê Trường Lâm
Tạ Quang Hoàng</t>
  </si>
  <si>
    <t>Project Code</t>
  </si>
  <si>
    <t>SE04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</si>
  <si>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</si>
  <si>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</si>
  <si>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</si>
  <si>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</si>
  <si>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</si>
  <si>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</si>
  <si>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</si>
  <si>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</si>
  <si>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</si>
  <si>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</si>
  <si>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26/03/2017</t>
  </si>
  <si>
    <t>1.0</t>
  </si>
  <si>
    <t>A</t>
  </si>
  <si>
    <t>Blackbox testcase-template</t>
  </si>
  <si>
    <t>2.0</t>
  </si>
  <si>
    <t>M,D</t>
  </si>
  <si>
    <t>Bổ sung các màn hình cho các chức năng.
Bổ sung các case còn thiếu và xóa bớt một số case dư thừa</t>
  </si>
  <si>
    <t>TEST CASE LIST</t>
  </si>
  <si>
    <t>Test Environment Setup Description</t>
  </si>
  <si>
    <t>1. Apache Tomcat 9
2. Eclipse
3. MySQL
4. Web Browser</t>
  </si>
  <si>
    <t>No</t>
  </si>
  <si>
    <t>Function Name</t>
  </si>
  <si>
    <t>Sheet Name</t>
  </si>
  <si>
    <t>Description</t>
  </si>
  <si>
    <t>Pre-Condition</t>
  </si>
  <si>
    <t>Function - Tìm kiếm cán bộ</t>
  </si>
  <si>
    <t>Quản lí cán bộ</t>
  </si>
  <si>
    <r>
      <rPr>
        <rFont val="Times New Roman"/>
        <color rgb="FF000000"/>
        <sz val="13.0"/>
      </rPr>
      <t>Check GUI và FUNC chức năng tiềm kiếm cán bộ</t>
    </r>
    <r>
      <rPr>
        <rFont val="Times New Roman"/>
        <color rgb="FF000000"/>
        <sz val="13.0"/>
      </rPr>
      <t xml:space="preserve"> </t>
    </r>
  </si>
  <si>
    <t>Tại Menu Ứng dụng:
1. Click [Cán bộ]
2. Click [Danh sách].</t>
  </si>
  <si>
    <t>Function - Chỉnh sửa thông tin cán bộ</t>
  </si>
  <si>
    <t>Check GUI và FUNC chức năng chỉnh sửa thông tin 
cán bộ</t>
  </si>
  <si>
    <t>C1:Tại màn hình Danh sách cán bộ: 
Click [Sửa] Button ngay tại cán bộ cần sửa.
C2: Tại màn hình Xem cán bộ:
Click [Sửa]Button.</t>
  </si>
  <si>
    <t>Function - Thêm cán bộ</t>
  </si>
  <si>
    <r>
      <rPr>
        <rFont val="Times New Roman"/>
        <color rgb="FF000000"/>
        <sz val="13.0"/>
      </rPr>
      <t>Check GUI và FUNC chức năng thêm cán bộ</t>
    </r>
    <r>
      <rPr>
        <rFont val="Times New Roman"/>
        <color rgb="FF000000"/>
        <sz val="13.0"/>
      </rPr>
      <t xml:space="preserve"> </t>
    </r>
  </si>
  <si>
    <t>Tại Menu Ứng dụng: 
1. Click [Cán bộ]
2. Click [Thêm mới]</t>
  </si>
  <si>
    <t>Function - Xóa cán bộ</t>
  </si>
  <si>
    <r>
      <rPr>
        <rFont val="Times New Roman"/>
        <color rgb="FF000000"/>
        <sz val="13.0"/>
      </rPr>
      <t>Check GUI và FUNC chức năng xóa cán bộ</t>
    </r>
    <r>
      <rPr>
        <rFont val="Times New Roman"/>
        <color rgb="FF000000"/>
        <sz val="13.0"/>
      </rPr>
      <t xml:space="preserve"> </t>
    </r>
  </si>
  <si>
    <t>Tại màn hình Danh sách cán bộ: 
Click [Xóa] ngay tại cán bộ muốn xóa.</t>
  </si>
  <si>
    <t>Layout QL Cán bộ</t>
  </si>
  <si>
    <t>Layout QL cán bộ</t>
  </si>
  <si>
    <t>GUI chức năng Quản lý Cán bộ</t>
  </si>
  <si>
    <t>Module Code</t>
  </si>
  <si>
    <t>Test requirement</t>
  </si>
  <si>
    <t xml:space="preserve">1. Tìm kiếm cán bộ.
2. Thêm cán bộ
3. Chỉnh sửa thông tin cán bộ
4. Xóa cán bộ
</t>
  </si>
  <si>
    <t>Tester</t>
  </si>
  <si>
    <t>Lê Trường Lâm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</si>
  <si>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</si>
  <si>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</si>
  <si>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</si>
  <si>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</si>
  <si>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</si>
  <si>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</si>
  <si>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</si>
  <si>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</si>
  <si>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</si>
  <si>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</si>
  <si>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</si>
  <si>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</si>
  <si>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</si>
  <si>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Function : Tìm kiếm cán bộ</t>
  </si>
  <si>
    <t>Check GUI-Tìm kiếm cán bộ</t>
  </si>
  <si>
    <t>GUI-SearchCB-01</t>
  </si>
  <si>
    <t>[Thêm] Button</t>
  </si>
  <si>
    <t>Nếu người dùng không có quyền thêm cán bộ</t>
  </si>
  <si>
    <t>Status = disable</t>
  </si>
  <si>
    <t>Trường hợp khác</t>
  </si>
  <si>
    <t>Status = enable</t>
  </si>
  <si>
    <t>GUI-SearchCB-02</t>
  </si>
  <si>
    <t>[Search] Search</t>
  </si>
  <si>
    <t>GUI-SearchCB-03</t>
  </si>
  <si>
    <t>[Result]Grid</t>
  </si>
  <si>
    <t>Format: 10 bản ghi trong 1 trang</t>
  </si>
  <si>
    <t>[Họ tên]Column</t>
  </si>
  <si>
    <t>Lấy dữ liệu từ cột Họ tên của bảng Họ tên</t>
  </si>
  <si>
    <t>[Ngày sinh]Column</t>
  </si>
  <si>
    <t>Lấy dữ liệu từ cột Ngày sinh của bảng Ngày sinh</t>
  </si>
  <si>
    <t>GUI-SearchCB-04</t>
  </si>
  <si>
    <t>[Sửa]Button</t>
  </si>
  <si>
    <t>Nếu người dùng không có quyền sửa thông tin cán bộ</t>
  </si>
  <si>
    <t>GUI-SearchCB-05</t>
  </si>
  <si>
    <t>[Xóa]Button</t>
  </si>
  <si>
    <t>Nếu người dùng không có quyền xóa cán bộ</t>
  </si>
  <si>
    <t>Statuss = disable</t>
  </si>
  <si>
    <t>GUI-SearchCB-06</t>
  </si>
  <si>
    <t>[Đầu]Button</t>
  </si>
  <si>
    <t>Nếu người quản lí đang ở trang đầu tiên của  danh sách.</t>
  </si>
  <si>
    <t>GUI-SearchCB-07</t>
  </si>
  <si>
    <t>[Trước]Button</t>
  </si>
  <si>
    <t>Nếu người quản lí đang ở trang đâu tiên của danh sách.</t>
  </si>
  <si>
    <t>GUI-SearchCB-08</t>
  </si>
  <si>
    <t>[Sau]Button</t>
  </si>
  <si>
    <t>Nếu người quản lí đang ở trang cuối của danh sách hoặc các bản ghi hiện tại có ít hơn hoặc bằng 10 bản ghi.</t>
  </si>
  <si>
    <t>GUI-SearchCB-09</t>
  </si>
  <si>
    <t>[Cuối]Button</t>
  </si>
  <si>
    <t>Check FUNC-Tìm kiếm cán bộ</t>
  </si>
  <si>
    <t>FUNC-SearchCB-01</t>
  </si>
  <si>
    <t>Mở màn hình tìm kiếm thành công</t>
  </si>
  <si>
    <t>Tại Menu Ứng dụng:
1. Click [Cán bộ]
2. Click [Danh sách cán bộ].</t>
  </si>
  <si>
    <t>Mở màn hình danh sách cán bộ (refer sheet Layout QL cán bộ)</t>
  </si>
  <si>
    <t>FUNC-SearchCB-02</t>
  </si>
  <si>
    <t>Tìm kiếm thành công  nhưng không có kết quả tìm thấy</t>
  </si>
  <si>
    <t>Tại màn hình tìm kiếm:
1. Nhập vào dữ liệu không tồn tại trong hệ thống.
(Ví dụ: Nhập vào tên Nguyễn Văn Anh không tồn tại trong hệ thống)
2. Nhấn Enter</t>
  </si>
  <si>
    <t>Hiển thị thông báo: "Không tìm thấy dữ liệu phù hợp!"</t>
  </si>
  <si>
    <t>FUNC-SearchCB-03</t>
  </si>
  <si>
    <t>Tìm kiếm thành công nhưng không nhập dữ liệu</t>
  </si>
  <si>
    <t>Tại màn hình tìm kiếm:
1. Không nhập dữ liệu vào.
2. Nhấn Enter</t>
  </si>
  <si>
    <t>Hiển thị danh sách tất cả cán bộ trong hệ thống.</t>
  </si>
  <si>
    <t>FUNC-SearchCB-04</t>
  </si>
  <si>
    <t>Tìm kiếm thành công với dữ liệu được nhập vào là họ tên</t>
  </si>
  <si>
    <t>Tại màn hình tìm kiếm:
1. Nhập vào tên cán bộ cần tìm.
2. Nhấn Enter.</t>
  </si>
  <si>
    <t>Hiển thị danh sách cán bộ phù hợp với họ tên nhập vào.</t>
  </si>
  <si>
    <t>FUNC-SearchCB-05</t>
  </si>
  <si>
    <t>Tìm kiếm thành công với dữ liệu được nhập vào là Ngày sinh</t>
  </si>
  <si>
    <t>Tại màn hình tìm kiếm:
1. Nhập vào Ngày sinh cần tìm.
2. Nhấn Enter.</t>
  </si>
  <si>
    <t>Hiển thị danh sách cán bộ phù hợp với Ngày sinh nhập vào.</t>
  </si>
  <si>
    <t>Function : Thêm cán bộ</t>
  </si>
  <si>
    <t>Check GUI-Thêm cán bộ</t>
  </si>
  <si>
    <t>GUI-ThemCB-01</t>
  </si>
  <si>
    <t>[Tên cán bộ] Textbox</t>
  </si>
  <si>
    <t>Nhập vào tên cán bộ cần thêm.</t>
  </si>
  <si>
    <t>Status = enable
Default = blank
Max-length = 100</t>
  </si>
  <si>
    <t>GUI-ThemCB-02</t>
  </si>
  <si>
    <t>[Giới tính] Combobox</t>
  </si>
  <si>
    <t>Lựa chọn giới tính cán bộ.</t>
  </si>
  <si>
    <t>Status = enable
Max-length = 20</t>
  </si>
  <si>
    <t>GUI-ThemCB-03</t>
  </si>
  <si>
    <t>[Ngày sinh] Datechoose</t>
  </si>
  <si>
    <t>Lựa chọn ngày sinh cán bộ.</t>
  </si>
  <si>
    <t>GUI-ThemCB-04</t>
  </si>
  <si>
    <t>[Số điện thoại] Textbox</t>
  </si>
  <si>
    <t>Nhập vào số điện thoại cán bộ.</t>
  </si>
  <si>
    <t>Status = enable
Default = blank
Max-length = 50</t>
  </si>
  <si>
    <t>GUI-ThemCB-05</t>
  </si>
  <si>
    <t>[Hình ảnh] Choosefile</t>
  </si>
  <si>
    <t>Chọn hình ảnh đại diện.</t>
  </si>
  <si>
    <t>GUI-ThemCB-06</t>
  </si>
  <si>
    <t>[Email] Textbox</t>
  </si>
  <si>
    <t>Nhập vào địa chỉ email cán bộ.</t>
  </si>
  <si>
    <t>GUI-ThemCB-07</t>
  </si>
  <si>
    <t>[Địa chỉ] Textbox</t>
  </si>
  <si>
    <t>Nhập vào địa chỉ cán bộ.</t>
  </si>
  <si>
    <t>Status = enable
Max-length = 100</t>
  </si>
  <si>
    <t>GUI-ThemCB-08</t>
  </si>
  <si>
    <t>[Nơi công tác] Textbox</t>
  </si>
  <si>
    <t>Nhập vào nơi công tác của cán bộ.</t>
  </si>
  <si>
    <t>GUI-ThemCB-09</t>
  </si>
  <si>
    <t>[Chức vụ] Textbox</t>
  </si>
  <si>
    <t>Nhập vào chức vụ của cán bộ.</t>
  </si>
  <si>
    <t>GUI-ThemCB-10</t>
  </si>
  <si>
    <t>[OK] Button</t>
  </si>
  <si>
    <t>GUI-ThemCB-11</t>
  </si>
  <si>
    <t>[Reset] Button</t>
  </si>
  <si>
    <t>GUI-ThemCB-12</t>
  </si>
  <si>
    <t>[Hủy] Button</t>
  </si>
  <si>
    <t>Check FUNC-Thêm cán bộ</t>
  </si>
  <si>
    <t>FUNC-ThemCB-01</t>
  </si>
  <si>
    <t>Mở màn hình Thêm cán bộ thành công</t>
  </si>
  <si>
    <t>Tại Menu Ứng dụng: Click Thêm cán bộ
Tại màn hình Danh sách cán bộ: Click Thêm</t>
  </si>
  <si>
    <t>Hiển thị màn hình Thêm cán bộ</t>
  </si>
  <si>
    <t>FUNC-ThemCB-02</t>
  </si>
  <si>
    <t>Không nhập tên cán bộ</t>
  </si>
  <si>
    <t>Tại màn hình thêm cán bộ:
1. Không nhập dữ liệu vào [Tên cán bộ] textbox.
2. Nhấn [Thêm] button.</t>
  </si>
  <si>
    <t>Hiển thị thông báo: "Vui lòng nhập tên cán bộ!"
Trỏ chuột tại [Tên cán bộ] textbox.</t>
  </si>
  <si>
    <t>FUNC-ThemCB-03</t>
  </si>
  <si>
    <t>Nhập tên cán bộ quá số kí tự cho phép</t>
  </si>
  <si>
    <t>Tại màn hình Thêm cán bộ:
1. Nhập quá 100 ký tự tại [Tên cán bộ]textbox
2. Nhấn [Thêm] button.</t>
  </si>
  <si>
    <t>Hiển thị thông báo: "Vui lòng không nhập quá 100 ký tự!"
Trỏ chuột tại [Tên cán bộ]textbox.</t>
  </si>
  <si>
    <t>FUNC-ThemCB-04</t>
  </si>
  <si>
    <t>Nhập tên cán bộ toàn kí tự trống.</t>
  </si>
  <si>
    <t>Tại màn hình Thêm cán bộ:
1. Nhập toàn ký tự trống tại [Tên cán bộ]textbox
2. Nhấn [Thêm] button.</t>
  </si>
  <si>
    <t>Hiển thị thông báo: "Vui lòng không nhập toàn bộ ký tự trống!"
Trỏ chuột tại [Tên cán bộ]textbox.</t>
  </si>
  <si>
    <t>FUNC-ThemCB-05</t>
  </si>
  <si>
    <t>Nhập tên cán bộ có kí tự đặc biệt.</t>
  </si>
  <si>
    <t>Tại màn hình Thêm cán bộ:
1. Nhập ký tự đặc biệt tại [Tên cán bộ]textbox
2. Nhấn [Thêm] button.</t>
  </si>
  <si>
    <t>Hiển thị thông báo: "Vui lòng không nhập  ký tự đặc biệt!"
Trỏ chuột tại [Tên cán bộ]textbox.</t>
  </si>
  <si>
    <t>FUNC-ThemCB-06</t>
  </si>
  <si>
    <t>Nhập tên cán bộ có ký tự số.</t>
  </si>
  <si>
    <t>Tại màn hình Thêm cán bộ:
1. Nhập ký tự số tại [Tên cán bộ]textbox
2. Nhấn [Thêm] button.</t>
  </si>
  <si>
    <t>Hiển thị thông báo: "Vui lòng không nhập  ký tự số!"
Trỏ chuột tại [Tên cán bộ]textbox.</t>
  </si>
  <si>
    <t>FUNC-ThemCB-07</t>
  </si>
  <si>
    <t>Không chọn giới tính</t>
  </si>
  <si>
    <t>Tại màn hình Thêm cán bộ:
1. Không chọn giới tính tại [Giới tính]Combobox.
2. Nhấn [Thêm] button.</t>
  </si>
  <si>
    <t>Hiển thị thông báo: "Vui lòng chọn giới tính!"</t>
  </si>
  <si>
    <t>FUNC-ThemCB-08</t>
  </si>
  <si>
    <t>Không nhập ngày sinh</t>
  </si>
  <si>
    <t>Tại màn hình Thêm cán bộ:
1. Không chọn ngày sinh tại [Ngày sinh]Datechoose.
2. Nhấn [Thêm] button.</t>
  </si>
  <si>
    <t>Hiển thị thông báo: "Vui lòng chọn năm sinh!"</t>
  </si>
  <si>
    <t>FUNC-ThemCB-09</t>
  </si>
  <si>
    <t>Không nhập số điện thoại</t>
  </si>
  <si>
    <t>Tại màn hình Thêm cán bộ:
1. Không nhập dữ liệu vào [Số điện thoại] textbox.
2. Nhấn [Thêm] button.</t>
  </si>
  <si>
    <t>Hiển thị thông báo: "Vui lòng nhập số điện thoại!"
Trỏ chuột tại [Số điện thoại] textbox.</t>
  </si>
  <si>
    <t>FUNC-ThemCB-10</t>
  </si>
  <si>
    <t>Nhập quá số ký tự số điện thoại cho phép</t>
  </si>
  <si>
    <t>Tại màn hình Thêm cán bộ:
1. Nhập quá 50 ký tự tại [Số điện thoại]textbox
2. Nhấn [Thêm] button.</t>
  </si>
  <si>
    <t>Hiển thị thông báo: "Vui lòng không nhập quá 50 ký tự!"
Trỏ chuột tại [Số điện thoại]textbox.</t>
  </si>
  <si>
    <t>FUNC-ThemCB-11</t>
  </si>
  <si>
    <t>Nhập toàn ký tự trống.</t>
  </si>
  <si>
    <t>Tại màn hình Thêm cán bộ:
1. Nhập toàn bộ là ký tự trống tại [Số điện thoại]textbox
2. Nhấn [Thêm] button.</t>
  </si>
  <si>
    <t>Hiển thị thông báo: "Vui lòng không nhập toàn bộ là ký tự trống!"
Trỏ chuột tại [Số điện thoại]textbox.</t>
  </si>
  <si>
    <t>FUNC-ThemCB-12</t>
  </si>
  <si>
    <t>Nhập số điện thoại có ký tự là chữ cái.</t>
  </si>
  <si>
    <t>Tại màn hình Thêm cán bộ:
1. Nhập ký tự chữ cái tại [Số điện thoại]textbox
2. Nhấn [Thêm] button.</t>
  </si>
  <si>
    <t>Hiển thị thông báo: "Vui lòng không nhập chữ cái!"
Trỏ chuột tại [Số điện thoại]textbox.</t>
  </si>
  <si>
    <t>FUNC-ThemCB-13</t>
  </si>
  <si>
    <t>Nhập số điện thoại có ký tự đặc biệt.</t>
  </si>
  <si>
    <t>Tại màn hình Thêm cán bộ:
1. Nhập ký tự đặc biệt tại [Số điện thoại]textbox
2. Nhấn [Thêm] button.</t>
  </si>
  <si>
    <t>Hiển thị thông báo: "Vui lòng không nhập ký tự đặc biệt!"
Trỏ chuột tại [Số điện thoại]textbox.</t>
  </si>
  <si>
    <t>FUNC-ThemCB-14</t>
  </si>
  <si>
    <t xml:space="preserve">Không chọn hình ảnh </t>
  </si>
  <si>
    <t>Tại màn hình Thêm cán bộ:
1. Không chọn hình ảnh đại diện. 
2. Nhấn [Thêm] button.</t>
  </si>
  <si>
    <t>Hiển thị thông báo: "Vui lòng chọn hình ảnh!"</t>
  </si>
  <si>
    <t>FUNC-ThemCB-15</t>
  </si>
  <si>
    <t>Không nhập địa chỉ email</t>
  </si>
  <si>
    <t>Tại màn hình Thêm cán bộ:
1. Không nhập dữ liệu vào [Email] textbox.
2. Nhấn [Thêm] button.</t>
  </si>
  <si>
    <t>Hiển thị thông báo: "Vui lòng nhập địa chỉ email!"
Trỏ chuột tại [Email] textbox.</t>
  </si>
  <si>
    <t>FUNC-ThemCB-16</t>
  </si>
  <si>
    <t>Nhập quá số ký tự email cho phép</t>
  </si>
  <si>
    <t>Tại màn hình Thêm cán bộ:
1. Nhập quá 50 ký tự tại [Email]textbox.
2. Nhấn [Thêm] button.</t>
  </si>
  <si>
    <t>Hiển thị thông báo: "Vui lòng không nhập quá 50 ký tự!"
Trỏ chuột vào [Email]textbox.</t>
  </si>
  <si>
    <t>FUNC-ThemCB-17</t>
  </si>
  <si>
    <t>Nhập sai định dạng email</t>
  </si>
  <si>
    <t>Tại màn hình Thêm cán bộ:
1. Nhập sai định dạng email tại [Email]textbox.
2. Nhấn [Thêm] button.</t>
  </si>
  <si>
    <t>Hiển thị thông báo: "Vui lòng nhập lại địa chỉ email!"
Trỏ chuột tại [Email] textbox.</t>
  </si>
  <si>
    <t>FUNC-ThemCB-18</t>
  </si>
  <si>
    <t>Không nhập địa chỉ</t>
  </si>
  <si>
    <t>Tại màn hình Thêm cán bộ:
1. Không nhập dữ liệu địa chỉ tại [Địa chỉ]textbox.
2. Nhấn [Thêm] button.</t>
  </si>
  <si>
    <t>Hiển thị thông báo: "Vui lòng nhập địa chỉ!"
Trỏ chuột tại [Địa chỉ] textbox.</t>
  </si>
  <si>
    <t>FUNC-ThemCB-19</t>
  </si>
  <si>
    <t>Nhập quá số ký tự địa chỉ cho phép</t>
  </si>
  <si>
    <t>Tại màn hình Thêm cán bộ:
1. Nhập quá 100 ký tự tại [Địa chỉ]textbox.
2. Nhấn [Thêm] button.</t>
  </si>
  <si>
    <t>Hiển thị thông báo: "Vui lòng không nhập quá 100 ký tự!"
Trỏ chuột tại [Địa chỉ]textbox.</t>
  </si>
  <si>
    <t>FUNC-ThemCB-20</t>
  </si>
  <si>
    <t>Nhập địa chỉ có kí tự đặc biệt.</t>
  </si>
  <si>
    <t>Tại màn hình Thêm cán bộ:
1. Nhập ký tự đặc biệt tại [Địa chỉ]textbox.
2. Nhấn [Thêm] button.</t>
  </si>
  <si>
    <t>Hiển thị thông báo: "Vui lòng không nhập ký tự đặc biệt!"
Trỏ chuột tại [Địa chỉ]textbox.</t>
  </si>
  <si>
    <t>FUNC-ThemCB-21</t>
  </si>
  <si>
    <t>Không nhập nơi công tác</t>
  </si>
  <si>
    <t>Tại màn hình Thêm cán bộ:
1. Không nhập dữ liệu nơi công tác tại [Nơi công tác] textbox.
2. Nhấn [Thêm] button.</t>
  </si>
  <si>
    <t>Hiển thị thông báo: "Vui lòng nhập nơi công tác!"
Trỏ chuột tại [Nơi công tác] textbox.</t>
  </si>
  <si>
    <t>FUNC-ThemCB-22</t>
  </si>
  <si>
    <t>Nhập quá số ký tự nơi công tác cho phép.</t>
  </si>
  <si>
    <t>Tại màn hình Thêm cán bộ:
1. Nhập quá 100 ký tự tại [Nơi công tác]textbox.
2. Nhấn [Thêm] button.</t>
  </si>
  <si>
    <t>Hiển thị thông báo: "Vui lòng không nhập quá 100 ký tự!"
Trỏ chuột tại [Nơi công tác]textbox.</t>
  </si>
  <si>
    <t>FUNC-ThemCB-23</t>
  </si>
  <si>
    <t>Nhập nơi công tác có ký tự đặc biệt.</t>
  </si>
  <si>
    <t>Tại màn hình Thêm cán bộ:
1. Nhập ký tự đặc biệt tại [Nơi công tác]textbox.
2. Nhấn [Thêm] button.</t>
  </si>
  <si>
    <t>Hiển thị thông báo: "Vui lòng không nhập ký tự đặc biệt!"
Trỏ chuột tại [Nơi công tác]textbox.</t>
  </si>
  <si>
    <t>FUNC-ThemCB-24</t>
  </si>
  <si>
    <t>Không nhập chức vụ</t>
  </si>
  <si>
    <t>Tại màn hình Thêm cán bộ:
1. Không nhập dữ liệu chức vụ tại [Chức vụ]textbox.
2. Nhấn [Thêm] button.</t>
  </si>
  <si>
    <t>Hiển thị thông báo: "Vui lòng nhập chức vụ!"
Trỏ chuột tại [Chức vụ] textbox.</t>
  </si>
  <si>
    <t>FUNC-ThemCB-25</t>
  </si>
  <si>
    <t>Nhập chức vụ có ký tự đặc biệt</t>
  </si>
  <si>
    <t>Tại màn hình Thêm cán bộ:
1. Nhập ký tự đặc biệt tại [Chức vụ]textbo.
2. Nhấn [Thêm] button.</t>
  </si>
  <si>
    <t>Hiển thị thông báo: "Vui lòng không nhập ký tự đặc biệt!"
Trỏ chuột tại [Chức vụ] textbox.</t>
  </si>
  <si>
    <t>FUNC-ThemCB-26</t>
  </si>
  <si>
    <t>Không nhập dữ liệu vào form</t>
  </si>
  <si>
    <t>Tại màn hình Thêm cán bộ:
1. Không nhập tất cả các dữ liệu được yêu cầu nhập trong form.
2. Nhấn [Thêm] button.</t>
  </si>
  <si>
    <t xml:space="preserve">Hiển thị thông báo: "Vui lòng nhập dữ liệu!"
Trỏ chuột tại [Tên cán bộ] textbox.
</t>
  </si>
  <si>
    <t>FUNC-ThemCB-27</t>
  </si>
  <si>
    <t>Thêm cán bộ thành công khi input tất cả các thông tin</t>
  </si>
  <si>
    <t>Tại màn hình Thêm cán bộ:
1. Nhập tất cả dữ liệu được yêu cầu nhập trong form.
2. Nhấn [Thêm] button.</t>
  </si>
  <si>
    <t>Hiển thị thông báo: "Thêm cán bộ thành công!"</t>
  </si>
  <si>
    <t>FUNC-ThemCB-28</t>
  </si>
  <si>
    <t>Thêm cán bộ thành công khi chỉ input item bắt buộc nhập</t>
  </si>
  <si>
    <t>Tại màn hình Thêm cán bộ:
1. Nhập data valid cho các item bắt buộc
2. Nhấn [Thêm] button.</t>
  </si>
  <si>
    <t>FUNC-ThemCB-29</t>
  </si>
  <si>
    <t>Thêm cán bộ thành công khi input tất cả các thông tin với data max length</t>
  </si>
  <si>
    <t>Tại màn hình Thêm cán bộ:
1. Nhập tất cả dữ liệu được yêu cầu nhập trong form với data max length
2. Nhấn [Thêm] button.</t>
  </si>
  <si>
    <t>FUNC-ThemCB-30</t>
  </si>
  <si>
    <t>Xóa toàn bộ dữ liệu nhập vào.</t>
  </si>
  <si>
    <t>Tại màn hình Thêm cán bộ:
1. Nhập vào các dữ liệu được yêu cầu trong form.
2. Nhấn [Reset]button.</t>
  </si>
  <si>
    <t>Hiển thị màn hình Thêm cán bộ với form còn trống.
Trỏ chuột tại [Tên cán bộ] textbox.</t>
  </si>
  <si>
    <t>FUNC-ThemCB-31</t>
  </si>
  <si>
    <t>Hủy việc thêm cán bộ.</t>
  </si>
  <si>
    <t>Tại màn hình Thêm cán bộ:
Nhấn[ Hủy] Button.</t>
  </si>
  <si>
    <t>Hiển thị màn hình Danh sách cán bộ.</t>
  </si>
  <si>
    <t>Function: Sửa cán bộ</t>
  </si>
  <si>
    <t>Check-GUI-Sửa cán bộ</t>
  </si>
  <si>
    <t>GUI-SuaCB-01</t>
  </si>
  <si>
    <t>Nhập vào tên cán bộ cần chỉnh sửa.</t>
  </si>
  <si>
    <t>Status = enable
Default = Tên cán bộ đã tồn tại trong cơ sở dữ liệu
Max-length = 100</t>
  </si>
  <si>
    <t>GUI-SuaCB-02</t>
  </si>
  <si>
    <t xml:space="preserve">Status = enable 
Default = Ngày sinh đã tồn tại tong cơ sở dữ liệu.
</t>
  </si>
  <si>
    <t>GUI-SuaCB-03</t>
  </si>
  <si>
    <t>Status = enable
Default = Giới tính đã tồn tại tong cơ sở dữ liệu.</t>
  </si>
  <si>
    <t>GUI-SuaCB-04</t>
  </si>
  <si>
    <t>Status = enable
Default = Số điện thoại đã tồn tại tong cơ sở dữ liệu.
Max-length = 50</t>
  </si>
  <si>
    <t>GUI-SuaCB-05</t>
  </si>
  <si>
    <t>GUI-SuaCB-06</t>
  </si>
  <si>
    <t>Status = enable
Default = Email đã tồn tại tong cơ sở dữ liệu.
Max-length = 100</t>
  </si>
  <si>
    <t>GUI-SuaCB-07</t>
  </si>
  <si>
    <t>GUI-SuaCB-08</t>
  </si>
  <si>
    <t>Status = enable
Default = Nơi công tác đã tồn tại tong cơ sở dữ liệu.
Max-length = 100</t>
  </si>
  <si>
    <t>GUI-SuaCB-09</t>
  </si>
  <si>
    <t>Status = enable
Default = Chức vụ đã tồn tại tong cơ sở dữ liệu.
Max-length = 50</t>
  </si>
  <si>
    <t>GUI-SuaCB-10</t>
  </si>
  <si>
    <t>[Sửa] Button</t>
  </si>
  <si>
    <t>GUI-SuaCB-11</t>
  </si>
  <si>
    <t>GUI-SuaCB-12</t>
  </si>
  <si>
    <t>Check-FUNC-Sửa cán bộ</t>
  </si>
  <si>
    <t>FUNC-SuaCB-01</t>
  </si>
  <si>
    <t>Mở màn hình Sửa cán bộ thành công</t>
  </si>
  <si>
    <t>Hiển thị màn hình Sửa cán bộ</t>
  </si>
  <si>
    <t>FUNC-SuaCB-02</t>
  </si>
  <si>
    <t>Tại màn hình Sửa cán bộ:
1. Không nhập dữ liệu vào [Tên cán bộ] textbox.
2. Nhấn [Sửa] button.</t>
  </si>
  <si>
    <t>Hiển thị thông báo: "Không nhập tên cán bộ!"
Trỏ chuột tại [Tên cán bộ] textbox.</t>
  </si>
  <si>
    <t>FUNC-SuaCB-03</t>
  </si>
  <si>
    <t>Tại màn hình Sửa cán bộ:
1. Nhập toàn ký tự trống tại [Tên cán bộ]textbox
2. Nhấn [Sửa]button.</t>
  </si>
  <si>
    <t>FUNC-SuaCB-04</t>
  </si>
  <si>
    <t>Tại màn hình Sửa cán bộ:
1. Nhập ký tự đặc biệt tại [Tên cán bộ]textbox
2. Nhấn [Sửa]button.</t>
  </si>
  <si>
    <t>FUNC-SuaCB-05</t>
  </si>
  <si>
    <t>Tại màn hình Sửa cán bộ:
1. Nhập ký tự số tại [Tên cán bộ]textbox
2. Nhấn [Sửa]button.</t>
  </si>
  <si>
    <t>FUNC-SuaCB-06</t>
  </si>
  <si>
    <t>Tại màn hình Sửa cán bộ:
1. Không chọn giới tính tại [Giới tính]Combobox.
2. Nhấn [Sửa]Button.</t>
  </si>
  <si>
    <t>FUNC-SuaCB-07</t>
  </si>
  <si>
    <t>Tại màn hình Sửa cán bộ:
1. Không chọn ngày sinh tại [Ngày sinh]Datechoose.
2. Nhấn [Sửa]Button.</t>
  </si>
  <si>
    <t>Hiển thị thông báo: "Vui lòng chọn ngày sinh!"</t>
  </si>
  <si>
    <t>FUNC-SuaCB-08</t>
  </si>
  <si>
    <t>Tại màn hình Sửa cán bộ:
1. Không nhập dữ liệu vào [Số điện thoại] textbox.
2. Nhấn [Sửa]button.</t>
  </si>
  <si>
    <t>FUNC-SuaCB-09</t>
  </si>
  <si>
    <t>Tại màn hình Sửa cán bộ:
1. Nhập toàn bộ là ký tự trống tại [Số điện thoại]textbox
2. Nhấn [Sửa]button</t>
  </si>
  <si>
    <t>FUNC-SuaCB-10</t>
  </si>
  <si>
    <t>Tại màn hình Sửa cán bộ:
1. Nhập ký tự chữ cái tại [Số điện thoại]textbox
2. Nhấn [Sửa]button</t>
  </si>
  <si>
    <t>FUNC-SuaCB-11</t>
  </si>
  <si>
    <t>Tại màn hình Sửa cán bộ:
1. Nhập ký tự đặc biệt tại [Số điện thoại]textbox
2. Nhấn [Sửa]button.</t>
  </si>
  <si>
    <t>FUNC-SuaCB-12</t>
  </si>
  <si>
    <t>Nhập số điện thoại quá số ký tự cho phép.</t>
  </si>
  <si>
    <t>Tại màn hình Sửa cán bộ:
1. Nhập quá 50 ký tự tại [Số điện thoại]textbox
2. Nhấn [Sửa]button.</t>
  </si>
  <si>
    <t>Hiển thị thông báo: "Vui lòng không nhập quá 50 ký tựt!"
Trỏ chuột tại [Số điện thoại]textbox.</t>
  </si>
  <si>
    <t>FUNC-SuaCB-13</t>
  </si>
  <si>
    <t>Tại màn hình Sửa cán bộ:
1. Không chọn hình ảnh đại diện. 
2. Nhấn [Sửa]Button.</t>
  </si>
  <si>
    <t>FUNC-SuaCB-14</t>
  </si>
  <si>
    <t>Tại màn hình Sửa cán bộ:
1. Không nhập dữ liệu vào [Email] textbox.
2. Nhấn [Sửa] Button.</t>
  </si>
  <si>
    <t>FUNC-SuaCB-15</t>
  </si>
  <si>
    <t>Tại màn hình Sửa cán bộ:
1. Nhập sai định dạng email tại [Email]textbox.
2.Nhấn [Sửa]Button.</t>
  </si>
  <si>
    <t>FUNC-SuaCB-16</t>
  </si>
  <si>
    <t>Tại màn hình Sửa cán bộ:
1. Không nhập dữ liệu địa chỉ tại [Địa chỉ]textbox.
2. Nhấn [Sửa]Button.</t>
  </si>
  <si>
    <t>FUNC-SuaCB-17</t>
  </si>
  <si>
    <t>Tại màn hình Sửa cán bộ:
1. Nhập quá 100 ký tự tại [Địa chỉ]textbox.
2. Nhấn [Sửa]button.</t>
  </si>
  <si>
    <t>FUNC-SuaCB-18</t>
  </si>
  <si>
    <t>Tại màn hình Sửa cán bộ:
1. Nhập ký tự đặc biệt tại [Địa chỉ]textbox.
2. Nhấn [Sửa]button.</t>
  </si>
  <si>
    <t>FUNC-SuaCB-19</t>
  </si>
  <si>
    <t>Tại màn hình Sửa cán bộ:
1. Không nhập dữ liệu nơi công tác tại [Nơi công tác] textbox.
2. Nhấn [Sửa]Button.</t>
  </si>
  <si>
    <t>FUNC-SuaCB-20</t>
  </si>
  <si>
    <t>Tại màn hình Sửa cán bộ:
1. Nhập quá 100 ký tự tại [Nơi công tác]textbox.
2.Nhấn [Sửa]Button.</t>
  </si>
  <si>
    <t>FUNC-SuaCB-21</t>
  </si>
  <si>
    <t>Tại màn hình Sửa cán bộ:
1. Nhập ký tự đặc biệt tại [Nơi công tác]textbox.
2.Nhấn [Sửa]Button.</t>
  </si>
  <si>
    <t>FUNC-SuaCB-22</t>
  </si>
  <si>
    <t>Tại màn hình Sửa cán bộ:
1. Không nhập dữ liệu chức vụ tại textbox Chức vụ.
2. Nhấn [Sửa]Button.</t>
  </si>
  <si>
    <t>FUNC-SuaCB-23</t>
  </si>
  <si>
    <t>Tại màn hình Sửa cán bộ:
1. Nhập ký tự đặc biệt tại [Chức vụ]textbo.
2. Nhấn [Sửa]Button.</t>
  </si>
  <si>
    <t>FUNC-SuaCB-24</t>
  </si>
  <si>
    <t>Tại màn hình Sửa cán bộ:
1. Không nhập tất cả các dữ liệu được yêu cầu nhập trong form.
2. Nhấn [Sửa]Button.</t>
  </si>
  <si>
    <t>FUNC-SuaCB-25</t>
  </si>
  <si>
    <t>Sửa cán bộ thành công</t>
  </si>
  <si>
    <t>Tại màn hình Sửa cán bộ:
1. Nhập tất cả dữ liệu được yêu cầu nhập trong form.
2. Nhấn [Sửa]Button.</t>
  </si>
  <si>
    <t>Hiển thị thông báo: "Sửa cán bộ thành công!"</t>
  </si>
  <si>
    <t>FUNC-SuaCB-26</t>
  </si>
  <si>
    <t>Sửa cán bộ thành công khi chỉ input item bắt buộc nhập</t>
  </si>
  <si>
    <t>Tại màn hình Sửa cán bộ:
1. Nhập data valid cho các item bắt buộc
2. Nhấn [Sửa]Button.</t>
  </si>
  <si>
    <t>FUNC-SuaCB-27</t>
  </si>
  <si>
    <t>Sửa cán bộ thành công khi input tất cả các thông tin với data max length</t>
  </si>
  <si>
    <t>Tại màn hình Sửa cán bộ:
1. Nhập tất cả dữ liệu được yêu cầu nhập trong form với data max length
2. Nhấn [Sửa]Button.</t>
  </si>
  <si>
    <t>FUNC-SuaCB-28</t>
  </si>
  <si>
    <t>Xóa toàn bộ dữ liệu đã nhập vào.</t>
  </si>
  <si>
    <t>Tại màn hình Sửa cán bộ:
1. Nhập vào các dữ liệu được yêu cầu trong form.
2. Nhấn [Reset]button.</t>
  </si>
  <si>
    <t>Hiển thị màn hình Sửa cán bộ với form còn trống.
Trỏ chuột tại [Tên cán bộ] textbox.</t>
  </si>
  <si>
    <t>FUNC-SuaCB-29</t>
  </si>
  <si>
    <t>Hủy việc sửa cán bộ.</t>
  </si>
  <si>
    <t>Tại màn hình Sửa cán bộ:
Nhấn[ Hủy] Button.</t>
  </si>
  <si>
    <t>Function: Xóa cán bộ</t>
  </si>
  <si>
    <t>Check-GUI-Xóa cán bộ</t>
  </si>
  <si>
    <t>GUI-XoaCB-01</t>
  </si>
  <si>
    <t>GUI-XóaCB-02</t>
  </si>
  <si>
    <t>[Cancel]Button</t>
  </si>
  <si>
    <t>Check-FUNC-Xóa cán bộ</t>
  </si>
  <si>
    <t>FUNC-XoaCB-01</t>
  </si>
  <si>
    <t>Mở thành công màn hình Xác nhận xóa</t>
  </si>
  <si>
    <t>Tại màn hình Danh sách cán bộ: Click [Xóa] ngay tại cán bộ muốn xóa.</t>
  </si>
  <si>
    <t>Hiển thị màn hình Xác nhận xóa.</t>
  </si>
  <si>
    <t>FUNC-XoaCB-02</t>
  </si>
  <si>
    <t>Xóa thành công cán bộ.</t>
  </si>
  <si>
    <t>Tại màn hình Xác nhận xóa: 
Click [OK]Button.</t>
  </si>
  <si>
    <t>Hiển thị thông báo: "Xóa thành công!"</t>
  </si>
  <si>
    <t>FUNC-XoaCB-03</t>
  </si>
  <si>
    <t>Xóa không thành công.</t>
  </si>
  <si>
    <t>Tại màn hình Xác nhận xóa:
Trường hợp connect database lỗi
Click [OK]Button.</t>
  </si>
  <si>
    <t>Hiển thị thông báo: "Xóa không thành công!'</t>
  </si>
  <si>
    <t>FUNC-XoaCB-04</t>
  </si>
  <si>
    <t>Hủy việc xóa cán bộ.</t>
  </si>
  <si>
    <t>Tại màn hình Xác nhận xóa:
Click [Cancel]Button.</t>
  </si>
  <si>
    <t>TEST REPORT</t>
  </si>
  <si>
    <t>Quản lí tiêm chủng cho gia súc và gia cầm cho các hộ chăn nuôi của quận/huyện</t>
  </si>
  <si>
    <t>Võ Văn Hoan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</si>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</sst>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MS PGothic"/>
      <scheme val="minor"/>
    </font>
    <font>
      <sz val="13.0"/>
      <color theme="1"/>
      <name val="Times New Roman"/>
    </font>
    <font>
      <b/>
      <sz val="13.0"/>
      <color rgb="FFFF0000"/>
      <name val="Times New Roman"/>
    </font>
    <font>
      <b/>
      <sz val="13.0"/>
      <color rgb="FF000000"/>
      <name val="Times New Roman"/>
    </font>
    <font/>
    <font>
      <b/>
      <sz val="13.0"/>
      <color rgb="FF993300"/>
      <name val="Times New Roman"/>
    </font>
    <font>
      <i/>
      <sz val="13.0"/>
      <color rgb="FF008000"/>
      <name val="Times New Roman"/>
    </font>
    <font>
      <b/>
      <sz val="13.0"/>
      <color rgb="FFFFFFFF"/>
      <name val="Times New Roman"/>
    </font>
    <font>
      <i/>
      <sz val="13.0"/>
      <color rgb="FF339966"/>
      <name val="Times New Roman"/>
    </font>
    <font>
      <sz val="13.0"/>
      <color rgb="FF008000"/>
      <name val="Times New Roman"/>
    </font>
    <font>
      <sz val="13.0"/>
      <color rgb="FF339966"/>
      <name val="Times New Roman"/>
    </font>
    <font>
      <b/>
      <sz val="13.0"/>
      <color theme="1"/>
      <name val="Times New Roman"/>
    </font>
    <font>
      <u/>
      <sz val="11.0"/>
      <color rgb="FF0000FF"/>
      <name val="MS PGothic"/>
    </font>
    <font>
      <sz val="13.0"/>
      <color rgb="FF000000"/>
      <name val="Times New Roman"/>
    </font>
    <font>
      <u/>
      <sz val="11.0"/>
      <color theme="10"/>
      <name val="MS PGothic"/>
    </font>
    <font>
      <sz val="10.0"/>
      <color theme="1"/>
      <name val="Tahoma"/>
    </font>
    <font>
      <b/>
      <sz val="10.0"/>
      <color rgb="FFFFFFFF"/>
      <name val="Tahoma"/>
    </font>
    <font>
      <b/>
      <sz val="10.0"/>
      <color theme="1"/>
      <name val="Tahoma"/>
    </font>
    <font>
      <u/>
      <sz val="11.0"/>
      <color theme="10"/>
      <name val="MS PGothic"/>
    </font>
    <font>
      <u/>
      <sz val="11.0"/>
      <color theme="10"/>
      <name val="MS PGothic"/>
    </font>
    <font>
      <sz val="13.0"/>
      <color rgb="FFFF0000"/>
      <name val="Times New Roman"/>
    </font>
    <font>
      <sz val="11.0"/>
      <color rgb="FF000000"/>
      <name val="MS PGothic"/>
    </font>
    <font>
      <sz val="11.0"/>
      <color theme="1"/>
      <name val="MS PGothic"/>
    </font>
    <font>
      <sz val="13.0"/>
      <color rgb="FFFFFFFF"/>
      <name val="Times New Roman"/>
    </font>
    <font>
      <b/>
      <sz val="13.0"/>
      <color rgb="FF0000FF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</fills>
  <borders count="5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1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4" xfId="0" applyAlignment="1" applyBorder="1" applyFont="1" applyNumberFormat="1">
      <alignment horizontal="left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horizontal="center"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0" xfId="0" applyAlignment="1" applyBorder="1" applyFont="1">
      <alignment horizontal="center"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8" numFmtId="0" xfId="0" applyAlignment="1" applyBorder="1" applyFont="1">
      <alignment shrinkToFit="0" vertical="top" wrapText="1"/>
    </xf>
    <xf borderId="17" fillId="0" fontId="6" numFmtId="14" xfId="0" applyAlignment="1" applyBorder="1" applyFont="1" applyNumberFormat="1">
      <alignment horizontal="left" shrinkToFit="0" vertical="top" wrapText="1"/>
    </xf>
    <xf borderId="18" fillId="0" fontId="1" numFmtId="15" xfId="0" applyAlignment="1" applyBorder="1" applyFont="1" applyNumberFormat="1">
      <alignment shrinkToFit="0" vertical="top" wrapText="1"/>
    </xf>
    <xf borderId="17" fillId="0" fontId="6" numFmtId="1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7" fillId="0" fontId="9" numFmtId="15" xfId="0" applyAlignment="1" applyBorder="1" applyFont="1" applyNumberFormat="1">
      <alignment shrinkToFit="0" vertical="top" wrapText="0"/>
    </xf>
    <xf borderId="19" fillId="0" fontId="10" numFmtId="0" xfId="0" applyAlignment="1" applyBorder="1" applyFont="1">
      <alignment shrinkToFit="0" vertical="top" wrapText="0"/>
    </xf>
    <xf borderId="17" fillId="0" fontId="1" numFmtId="15" xfId="0" applyAlignment="1" applyBorder="1" applyFont="1" applyNumberFormat="1">
      <alignment shrinkToFit="0" vertical="top" wrapText="0"/>
    </xf>
    <xf borderId="20" fillId="0" fontId="9" numFmtId="1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3" fillId="0" fontId="4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7" numFmtId="1" xfId="0" applyAlignment="1" applyBorder="1" applyFill="1" applyFont="1" applyNumberFormat="1">
      <alignment horizontal="center" shrinkToFit="0" vertical="center" wrapText="0"/>
    </xf>
    <xf borderId="15" fillId="4" fontId="7" numFmtId="0" xfId="0" applyAlignment="1" applyBorder="1" applyFont="1">
      <alignment horizontal="center"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2" numFmtId="0" xfId="0" applyAlignment="1" applyBorder="1" applyFont="1">
      <alignment horizontal="left" readingOrder="0" shrinkToFit="0" vertical="center" wrapText="0"/>
    </xf>
    <xf borderId="18" fillId="2" fontId="13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1"/>
    </xf>
    <xf borderId="18" fillId="2" fontId="14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1"/>
    </xf>
    <xf borderId="18" fillId="2" fontId="1" numFmtId="0" xfId="0" applyAlignment="1" applyBorder="1" applyFont="1">
      <alignment horizontal="left" shrinkToFit="0" vertical="center" wrapText="0"/>
    </xf>
    <xf borderId="24" fillId="2" fontId="13" numFmtId="0" xfId="0" applyAlignment="1" applyBorder="1" applyFont="1">
      <alignment shrinkToFit="0" vertical="bottom" wrapText="0"/>
    </xf>
    <xf borderId="24" fillId="2" fontId="13" numFmtId="0" xfId="0" applyAlignment="1" applyBorder="1" applyFont="1">
      <alignment shrinkToFit="0" vertical="bottom" wrapText="1"/>
    </xf>
    <xf borderId="24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shrinkToFit="0" vertical="bottom" wrapText="0"/>
    </xf>
    <xf borderId="25" fillId="2" fontId="11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bottom" wrapText="1"/>
    </xf>
    <xf borderId="26" fillId="0" fontId="4" numFmtId="0" xfId="0" applyBorder="1" applyFont="1"/>
    <xf borderId="27" fillId="2" fontId="11" numFmtId="0" xfId="0" applyAlignment="1" applyBorder="1" applyFont="1">
      <alignment shrinkToFit="0" vertical="top" wrapText="1"/>
    </xf>
    <xf borderId="2" fillId="2" fontId="6" numFmtId="0" xfId="0" applyAlignment="1" applyBorder="1" applyFont="1">
      <alignment horizontal="left" shrinkToFit="0" vertical="top" wrapText="1"/>
    </xf>
    <xf borderId="28" fillId="2" fontId="6" numFmtId="0" xfId="0" applyAlignment="1" applyBorder="1" applyFont="1">
      <alignment horizontal="left" shrinkToFit="0" vertical="bottom" wrapText="1"/>
    </xf>
    <xf borderId="29" fillId="0" fontId="4" numFmtId="0" xfId="0" applyBorder="1" applyFont="1"/>
    <xf borderId="30" fillId="0" fontId="4" numFmtId="0" xfId="0" applyBorder="1" applyFont="1"/>
    <xf borderId="1" fillId="2" fontId="3" numFmtId="0" xfId="0" applyAlignment="1" applyBorder="1" applyFont="1">
      <alignment shrinkToFit="0" vertical="bottom" wrapText="0"/>
    </xf>
    <xf borderId="27" fillId="2" fontId="3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center" wrapText="1"/>
    </xf>
    <xf borderId="3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horizontal="center" shrinkToFit="0" vertical="bottom" wrapText="1"/>
    </xf>
    <xf borderId="32" fillId="2" fontId="13" numFmtId="0" xfId="0" applyAlignment="1" applyBorder="1" applyFont="1">
      <alignment horizontal="center" shrinkToFit="0" vertical="center" wrapText="0"/>
    </xf>
    <xf borderId="33" fillId="2" fontId="13" numFmtId="0" xfId="0" applyAlignment="1" applyBorder="1" applyFont="1">
      <alignment horizontal="center" shrinkToFit="0" vertical="center" wrapText="0"/>
    </xf>
    <xf borderId="34" fillId="2" fontId="13" numFmtId="0" xfId="0" applyAlignment="1" applyBorder="1" applyFont="1">
      <alignment horizontal="center" shrinkToFit="0" vertical="center" wrapText="1"/>
    </xf>
    <xf borderId="35" fillId="2" fontId="13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1" fillId="2" fontId="13" numFmtId="0" xfId="0" applyAlignment="1" applyBorder="1" applyFont="1">
      <alignment horizontal="center" shrinkToFit="0" vertical="bottom" wrapText="1"/>
    </xf>
    <xf borderId="5" fillId="3" fontId="7" numFmtId="0" xfId="0" applyAlignment="1" applyBorder="1" applyFont="1">
      <alignment horizontal="center" shrinkToFit="0" vertical="center" wrapText="1"/>
    </xf>
    <xf borderId="37" fillId="3" fontId="7" numFmtId="0" xfId="0" applyAlignment="1" applyBorder="1" applyFont="1">
      <alignment horizontal="center" shrinkToFit="0" vertical="center" wrapText="1"/>
    </xf>
    <xf borderId="5" fillId="3" fontId="16" numFmtId="0" xfId="0" applyAlignment="1" applyBorder="1" applyFont="1">
      <alignment horizontal="center" shrinkToFit="0" vertical="center" wrapText="1"/>
    </xf>
    <xf borderId="31" fillId="5" fontId="11" numFmtId="0" xfId="0" applyAlignment="1" applyBorder="1" applyFill="1" applyFont="1">
      <alignment horizontal="left" shrinkToFit="0" vertical="center" wrapText="0"/>
    </xf>
    <xf borderId="38" fillId="5" fontId="11" numFmtId="0" xfId="0" applyAlignment="1" applyBorder="1" applyFont="1">
      <alignment horizontal="left" shrinkToFit="0" vertical="center" wrapText="0"/>
    </xf>
    <xf borderId="38" fillId="5" fontId="11" numFmtId="0" xfId="0" applyAlignment="1" applyBorder="1" applyFont="1">
      <alignment horizontal="left" shrinkToFit="0" vertical="center" wrapText="1"/>
    </xf>
    <xf borderId="39" fillId="5" fontId="17" numFmtId="0" xfId="0" applyAlignment="1" applyBorder="1" applyFont="1">
      <alignment horizontal="left" shrinkToFit="0" vertical="center" wrapText="0"/>
    </xf>
    <xf borderId="39" fillId="5" fontId="11" numFmtId="0" xfId="0" applyAlignment="1" applyBorder="1" applyFont="1">
      <alignment horizontal="left" shrinkToFit="0" vertical="center" wrapText="0"/>
    </xf>
    <xf borderId="6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2" fontId="15" numFmtId="0" xfId="0" applyAlignment="1" applyBorder="1" applyFont="1">
      <alignment shrinkToFit="0" vertical="top" wrapText="1"/>
    </xf>
    <xf borderId="1" fillId="2" fontId="13" numFmtId="0" xfId="0" applyAlignment="1" applyBorder="1" applyFont="1">
      <alignment shrinkToFit="0" vertical="top" wrapText="0"/>
    </xf>
    <xf borderId="40" fillId="0" fontId="4" numFmtId="0" xfId="0" applyBorder="1" applyFont="1"/>
    <xf borderId="5" fillId="2" fontId="13" numFmtId="0" xfId="0" applyAlignment="1" applyBorder="1" applyFont="1">
      <alignment horizontal="left" shrinkToFit="0" vertical="top" wrapText="1"/>
    </xf>
    <xf borderId="41" fillId="0" fontId="4" numFmtId="0" xfId="0" applyBorder="1" applyFont="1"/>
    <xf borderId="6" fillId="2" fontId="1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5" fillId="2" fontId="18" numFmtId="0" xfId="0" applyAlignment="1" applyBorder="1" applyFont="1">
      <alignment shrinkToFit="0" vertical="top" wrapText="1"/>
    </xf>
    <xf borderId="37" fillId="2" fontId="1" numFmtId="0" xfId="0" applyAlignment="1" applyBorder="1" applyFont="1">
      <alignment horizontal="left" shrinkToFit="0" vertical="top" wrapText="1"/>
    </xf>
    <xf borderId="37" fillId="2" fontId="1" numFmtId="0" xfId="0" applyAlignment="1" applyBorder="1" applyFont="1">
      <alignment horizontal="center" shrinkToFit="0" vertical="top" wrapText="1"/>
    </xf>
    <xf borderId="31" fillId="6" fontId="1" numFmtId="0" xfId="0" applyAlignment="1" applyBorder="1" applyFill="1" applyFont="1">
      <alignment horizontal="left" shrinkToFit="0" vertical="center" wrapText="0"/>
    </xf>
    <xf borderId="5" fillId="6" fontId="1" numFmtId="0" xfId="0" applyAlignment="1" applyBorder="1" applyFont="1">
      <alignment horizontal="left" shrinkToFit="0" vertical="center" wrapText="0"/>
    </xf>
    <xf borderId="5" fillId="6" fontId="1" numFmtId="0" xfId="0" applyAlignment="1" applyBorder="1" applyFont="1">
      <alignment horizontal="left" shrinkToFit="0" vertical="center" wrapText="1"/>
    </xf>
    <xf borderId="5" fillId="6" fontId="1" numFmtId="0" xfId="0" applyAlignment="1" applyBorder="1" applyFont="1">
      <alignment shrinkToFit="0" vertical="center" wrapText="1"/>
    </xf>
    <xf borderId="5" fillId="5" fontId="11" numFmtId="0" xfId="0" applyAlignment="1" applyBorder="1" applyFont="1">
      <alignment horizontal="left" shrinkToFit="0" vertical="center" wrapText="0"/>
    </xf>
    <xf borderId="39" fillId="5" fontId="11" numFmtId="0" xfId="0" applyAlignment="1" applyBorder="1" applyFont="1">
      <alignment horizontal="left" shrinkToFit="0" vertical="center" wrapText="1"/>
    </xf>
    <xf borderId="37" fillId="6" fontId="1" numFmtId="0" xfId="0" applyAlignment="1" applyBorder="1" applyFont="1">
      <alignment horizontal="center" shrinkToFit="0" vertical="center" wrapText="0"/>
    </xf>
    <xf borderId="37" fillId="6" fontId="1" numFmtId="0" xfId="0" applyAlignment="1" applyBorder="1" applyFont="1">
      <alignment horizontal="left" shrinkToFit="0" vertical="center" wrapText="1"/>
    </xf>
    <xf borderId="5" fillId="6" fontId="19" numFmtId="0" xfId="0" applyAlignment="1" applyBorder="1" applyFont="1">
      <alignment horizontal="left" shrinkToFit="0" vertical="center" wrapText="1"/>
    </xf>
    <xf borderId="37" fillId="6" fontId="1" numFmtId="0" xfId="0" applyAlignment="1" applyBorder="1" applyFont="1">
      <alignment horizontal="left" shrinkToFit="0" vertical="center" wrapText="0"/>
    </xf>
    <xf borderId="37" fillId="6" fontId="1" numFmtId="0" xfId="0" applyAlignment="1" applyBorder="1" applyFont="1">
      <alignment shrinkToFit="0" vertical="center" wrapText="1"/>
    </xf>
    <xf borderId="37" fillId="6" fontId="1" numFmtId="0" xfId="0" applyAlignment="1" applyBorder="1" applyFont="1">
      <alignment horizontal="center" shrinkToFit="0" vertical="center" wrapText="1"/>
    </xf>
    <xf borderId="39" fillId="6" fontId="1" numFmtId="0" xfId="0" applyAlignment="1" applyBorder="1" applyFont="1">
      <alignment horizontal="left" shrinkToFit="0" vertical="center" wrapText="0"/>
    </xf>
    <xf borderId="5" fillId="6" fontId="1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0"/>
    </xf>
    <xf borderId="1" fillId="2" fontId="20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21" numFmtId="0" xfId="0" applyAlignment="1" applyFont="1">
      <alignment shrinkToFit="0" vertical="bottom" wrapText="1"/>
    </xf>
    <xf borderId="42" fillId="2" fontId="3" numFmtId="0" xfId="0" applyAlignment="1" applyBorder="1" applyFont="1">
      <alignment horizontal="center" shrinkToFit="0" vertical="bottom" wrapText="0"/>
    </xf>
    <xf borderId="43" fillId="0" fontId="4" numFmtId="0" xfId="0" applyBorder="1" applyFont="1"/>
    <xf borderId="44" fillId="0" fontId="4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5" xfId="0" applyAlignment="1" applyBorder="1" applyFont="1" applyNumberFormat="1">
      <alignment shrinkToFit="0" vertical="bottom" wrapText="0"/>
    </xf>
    <xf borderId="2" fillId="2" fontId="5" numFmtId="0" xfId="0" applyAlignment="1" applyBorder="1" applyFont="1">
      <alignment horizontal="left" shrinkToFit="0" vertical="bottom" wrapText="0"/>
    </xf>
    <xf borderId="39" fillId="2" fontId="5" numFmtId="0" xfId="0" applyAlignment="1" applyBorder="1" applyFont="1">
      <alignment horizontal="left" shrinkToFit="0" vertical="bottom" wrapText="0"/>
    </xf>
    <xf borderId="39" fillId="2" fontId="1" numFmtId="0" xfId="0" applyAlignment="1" applyBorder="1" applyFont="1">
      <alignment shrinkToFit="0" vertical="top" wrapText="0"/>
    </xf>
    <xf borderId="5" fillId="2" fontId="5" numFmtId="0" xfId="0" applyAlignment="1" applyBorder="1" applyFont="1">
      <alignment shrinkToFit="0" vertical="center" wrapText="0"/>
    </xf>
    <xf borderId="39" fillId="2" fontId="6" numFmtId="14" xfId="0" applyAlignment="1" applyBorder="1" applyFont="1" applyNumberFormat="1">
      <alignment horizontal="left" shrinkToFit="0" vertical="top" wrapText="0"/>
    </xf>
    <xf borderId="2" fillId="2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6" fillId="3" fontId="7" numFmtId="0" xfId="0" applyAlignment="1" applyBorder="1" applyFont="1">
      <alignment horizontal="center" shrinkToFit="0" vertical="bottom" wrapText="0"/>
    </xf>
    <xf borderId="47" fillId="3" fontId="7" numFmtId="0" xfId="0" applyAlignment="1" applyBorder="1" applyFont="1">
      <alignment horizontal="center" shrinkToFit="0" vertical="bottom" wrapText="0"/>
    </xf>
    <xf borderId="47" fillId="3" fontId="7" numFmtId="0" xfId="0" applyAlignment="1" applyBorder="1" applyFont="1">
      <alignment horizontal="center" shrinkToFit="0" vertical="bottom" wrapText="1"/>
    </xf>
    <xf borderId="48" fillId="3" fontId="7" numFmtId="0" xfId="0" applyAlignment="1" applyBorder="1" applyFont="1">
      <alignment horizontal="center" shrinkToFit="0" vertical="bottom" wrapText="0"/>
    </xf>
    <xf borderId="49" fillId="3" fontId="7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22" numFmtId="0" xfId="0" applyAlignment="1" applyBorder="1" applyFont="1">
      <alignment shrinkToFit="0" vertical="bottom" wrapText="0"/>
    </xf>
    <xf borderId="50" fillId="3" fontId="23" numFmtId="0" xfId="0" applyAlignment="1" applyBorder="1" applyFont="1">
      <alignment horizontal="center" shrinkToFit="0" vertical="bottom" wrapText="0"/>
    </xf>
    <xf borderId="51" fillId="3" fontId="7" numFmtId="0" xfId="0" applyAlignment="1" applyBorder="1" applyFont="1">
      <alignment shrinkToFit="0" vertical="bottom" wrapText="0"/>
    </xf>
    <xf borderId="51" fillId="3" fontId="23" numFmtId="0" xfId="0" applyAlignment="1" applyBorder="1" applyFont="1">
      <alignment horizontal="center" shrinkToFit="0" vertical="bottom" wrapText="0"/>
    </xf>
    <xf borderId="52" fillId="3" fontId="23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4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1</xdr:row>
      <xdr:rowOff>323850</xdr:rowOff>
    </xdr:from>
    <xdr:ext cx="10029825" cy="9753600"/>
    <xdr:sp>
      <xdr:nvSpPr>
        <xdr:cNvPr id="3" name="Shape 3"/>
        <xdr:cNvSpPr/>
      </xdr:nvSpPr>
      <xdr:spPr>
        <a:xfrm>
          <a:off x="335850" y="0"/>
          <a:ext cx="10020300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1</xdr:row>
      <xdr:rowOff>9525</xdr:rowOff>
    </xdr:from>
    <xdr:ext cx="762000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114300</xdr:colOff>
      <xdr:row>3</xdr:row>
      <xdr:rowOff>171450</xdr:rowOff>
    </xdr:from>
    <xdr:ext cx="7448550" cy="11458575"/>
    <xdr:sp>
      <xdr:nvSpPr>
        <xdr:cNvPr id="4" name="Shape 4"/>
        <xdr:cNvSpPr/>
      </xdr:nvSpPr>
      <xdr:spPr>
        <a:xfrm>
          <a:off x="1626488" y="0"/>
          <a:ext cx="7439025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0</xdr:rowOff>
    </xdr:from>
    <xdr:ext cx="5934075" cy="32289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27</xdr:row>
      <xdr:rowOff>0</xdr:rowOff>
    </xdr:from>
    <xdr:ext cx="5991225" cy="36004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51</xdr:row>
      <xdr:rowOff>0</xdr:rowOff>
    </xdr:from>
    <xdr:ext cx="6000750" cy="32670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72</xdr:row>
      <xdr:rowOff>142875</xdr:rowOff>
    </xdr:from>
    <xdr:ext cx="6048375" cy="51720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52.63"/>
    <col customWidth="1" min="7" max="7" width="31.0"/>
    <col customWidth="1" min="8" max="17" width="9.0"/>
    <col customWidth="1" min="18" max="26" width="8.0"/>
  </cols>
  <sheetData>
    <row r="1" ht="16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82.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5" t="s">
        <v>5</v>
      </c>
      <c r="C5" s="16" t="s">
        <v>6</v>
      </c>
      <c r="D5" s="6"/>
      <c r="E5" s="7"/>
      <c r="F5" s="15" t="s">
        <v>7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8" t="s">
        <v>8</v>
      </c>
      <c r="C6" s="19" t="str">
        <f>C5&amp;"_"&amp;"Blackbox testcase"&amp;F9&amp;"v2.0"</f>
        <v>SE04_Blackbox testcasev2.0</v>
      </c>
      <c r="D6" s="20"/>
      <c r="E6" s="21"/>
      <c r="F6" s="15" t="s">
        <v>9</v>
      </c>
      <c r="G6" s="22">
        <v>42982.0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3"/>
      <c r="C7" s="24"/>
      <c r="D7" s="25"/>
      <c r="E7" s="26"/>
      <c r="F7" s="15" t="s">
        <v>10</v>
      </c>
      <c r="G7" s="27">
        <v>2.0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8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29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0"/>
      <c r="B11" s="31" t="s">
        <v>12</v>
      </c>
      <c r="C11" s="32" t="s">
        <v>10</v>
      </c>
      <c r="D11" s="32" t="s">
        <v>13</v>
      </c>
      <c r="E11" s="32" t="s">
        <v>14</v>
      </c>
      <c r="F11" s="32" t="s">
        <v>15</v>
      </c>
      <c r="G11" s="33" t="s">
        <v>16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34"/>
      <c r="B12" s="35" t="s">
        <v>17</v>
      </c>
      <c r="C12" s="36" t="s">
        <v>18</v>
      </c>
      <c r="D12" s="37"/>
      <c r="E12" s="38" t="s">
        <v>19</v>
      </c>
      <c r="F12" s="39"/>
      <c r="G12" s="40" t="s">
        <v>20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36.75" customHeight="1">
      <c r="A13" s="34"/>
      <c r="B13" s="41">
        <v>42982.0</v>
      </c>
      <c r="C13" s="36" t="s">
        <v>21</v>
      </c>
      <c r="D13" s="37"/>
      <c r="E13" s="38" t="s">
        <v>22</v>
      </c>
      <c r="F13" s="42" t="s">
        <v>23</v>
      </c>
      <c r="G13" s="40" t="s">
        <v>20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4"/>
      <c r="B14" s="43"/>
      <c r="C14" s="44"/>
      <c r="D14" s="37"/>
      <c r="E14" s="37"/>
      <c r="F14" s="37"/>
      <c r="G14" s="40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9.5" customHeight="1">
      <c r="A15" s="34"/>
      <c r="B15" s="45"/>
      <c r="C15" s="44"/>
      <c r="D15" s="37"/>
      <c r="E15" s="37"/>
      <c r="F15" s="37"/>
      <c r="G15" s="46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4"/>
      <c r="B16" s="47"/>
      <c r="C16" s="44"/>
      <c r="D16" s="37"/>
      <c r="E16" s="37"/>
      <c r="F16" s="37"/>
      <c r="G16" s="46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9.5" customHeight="1">
      <c r="A17" s="34"/>
      <c r="B17" s="45"/>
      <c r="C17" s="44"/>
      <c r="D17" s="37"/>
      <c r="E17" s="37"/>
      <c r="F17" s="37"/>
      <c r="G17" s="46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1.75" customHeight="1">
      <c r="A18" s="34"/>
      <c r="B18" s="48"/>
      <c r="C18" s="49"/>
      <c r="D18" s="50"/>
      <c r="E18" s="50"/>
      <c r="F18" s="50"/>
      <c r="G18" s="51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9.5" customHeight="1">
      <c r="A19" s="34"/>
      <c r="B19" s="2"/>
      <c r="C19" s="1"/>
      <c r="D19" s="1"/>
      <c r="E19" s="1"/>
      <c r="F19" s="1"/>
      <c r="G19" s="1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6.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30.75"/>
    <col customWidth="1" min="4" max="4" width="26.0"/>
    <col customWidth="1" min="5" max="5" width="45.13"/>
    <col customWidth="1" min="6" max="6" width="46.88"/>
    <col customWidth="1" min="7" max="16" width="9.0"/>
    <col customWidth="1" min="17" max="26" width="8.0"/>
  </cols>
  <sheetData>
    <row r="1" ht="16.5" customHeight="1">
      <c r="A1" s="11"/>
      <c r="B1" s="52"/>
      <c r="C1" s="53"/>
      <c r="D1" s="54" t="s">
        <v>24</v>
      </c>
      <c r="E1" s="54"/>
      <c r="F1" s="5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52"/>
      <c r="C2" s="53"/>
      <c r="D2" s="55"/>
      <c r="E2" s="55"/>
      <c r="F2" s="5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1"/>
      <c r="B3" s="56" t="s">
        <v>1</v>
      </c>
      <c r="C3" s="57"/>
      <c r="D3" s="58" t="str">
        <f>Cover!C4</f>
        <v>Quản lí tiêm chủng cho gia súc và 
gia cầm cho các hộ chăn nuôi của 
quận/huyện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1"/>
      <c r="B4" s="56" t="s">
        <v>5</v>
      </c>
      <c r="C4" s="57"/>
      <c r="D4" s="58" t="str">
        <f>Cover!C5</f>
        <v>SE04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69.75" customHeight="1">
      <c r="A5" s="59"/>
      <c r="B5" s="60" t="s">
        <v>25</v>
      </c>
      <c r="C5" s="7"/>
      <c r="D5" s="61" t="s">
        <v>26</v>
      </c>
      <c r="E5" s="6"/>
      <c r="F5" s="7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6.5" customHeight="1">
      <c r="A6" s="11"/>
      <c r="B6" s="6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63"/>
      <c r="B7" s="64"/>
      <c r="C7" s="65"/>
      <c r="D7" s="65"/>
      <c r="E7" s="65"/>
      <c r="F7" s="65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21.0" customHeight="1">
      <c r="A8" s="66"/>
      <c r="B8" s="67" t="s">
        <v>27</v>
      </c>
      <c r="C8" s="68" t="s">
        <v>28</v>
      </c>
      <c r="D8" s="68" t="s">
        <v>29</v>
      </c>
      <c r="E8" s="68" t="s">
        <v>30</v>
      </c>
      <c r="F8" s="69" t="s">
        <v>31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49.5" customHeight="1">
      <c r="A9" s="11"/>
      <c r="B9" s="70">
        <v>1.0</v>
      </c>
      <c r="C9" s="71" t="s">
        <v>32</v>
      </c>
      <c r="D9" s="72" t="s">
        <v>33</v>
      </c>
      <c r="E9" s="73" t="s">
        <v>34</v>
      </c>
      <c r="F9" s="74" t="s">
        <v>35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66.0" customHeight="1">
      <c r="A10" s="11"/>
      <c r="B10" s="70">
        <v>2.0</v>
      </c>
      <c r="C10" s="71" t="s">
        <v>36</v>
      </c>
      <c r="D10" s="75" t="s">
        <v>33</v>
      </c>
      <c r="E10" s="76" t="s">
        <v>37</v>
      </c>
      <c r="F10" s="74" t="s">
        <v>38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49.5" customHeight="1">
      <c r="A11" s="11"/>
      <c r="B11" s="70">
        <v>3.0</v>
      </c>
      <c r="C11" s="71" t="s">
        <v>39</v>
      </c>
      <c r="D11" s="75" t="s">
        <v>33</v>
      </c>
      <c r="E11" s="73" t="s">
        <v>40</v>
      </c>
      <c r="F11" s="74" t="s">
        <v>41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3.0" customHeight="1">
      <c r="A12" s="11"/>
      <c r="B12" s="70">
        <v>4.0</v>
      </c>
      <c r="C12" s="71" t="s">
        <v>42</v>
      </c>
      <c r="D12" s="75" t="s">
        <v>33</v>
      </c>
      <c r="E12" s="73" t="s">
        <v>43</v>
      </c>
      <c r="F12" s="74" t="s">
        <v>44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3.0" customHeight="1">
      <c r="A13" s="11"/>
      <c r="B13" s="70">
        <v>5.0</v>
      </c>
      <c r="C13" s="71" t="s">
        <v>45</v>
      </c>
      <c r="D13" s="75" t="s">
        <v>46</v>
      </c>
      <c r="E13" s="77" t="s">
        <v>47</v>
      </c>
      <c r="F13" s="7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1"/>
      <c r="B14" s="52"/>
      <c r="C14" s="53"/>
      <c r="D14" s="53"/>
      <c r="E14" s="53"/>
      <c r="F14" s="5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1"/>
      <c r="B15" s="52"/>
      <c r="C15" s="53"/>
      <c r="D15" s="53"/>
      <c r="E15" s="53"/>
      <c r="F15" s="5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1"/>
      <c r="B16" s="52"/>
      <c r="C16" s="53"/>
      <c r="D16" s="53"/>
      <c r="E16" s="53"/>
      <c r="F16" s="5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11"/>
      <c r="B17" s="52"/>
      <c r="C17" s="53"/>
      <c r="D17" s="53"/>
      <c r="E17" s="53"/>
      <c r="F17" s="5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11"/>
      <c r="B18" s="52"/>
      <c r="C18" s="53"/>
      <c r="D18" s="53"/>
      <c r="E18" s="53"/>
      <c r="F18" s="5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1"/>
      <c r="B19" s="52"/>
      <c r="C19" s="53"/>
      <c r="D19" s="53"/>
      <c r="E19" s="53"/>
      <c r="F19" s="53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11"/>
      <c r="B20" s="52"/>
      <c r="C20" s="53"/>
      <c r="D20" s="53"/>
      <c r="E20" s="53"/>
      <c r="F20" s="5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11"/>
      <c r="B21" s="52"/>
      <c r="C21" s="53"/>
      <c r="D21" s="53"/>
      <c r="E21" s="53"/>
      <c r="F21" s="5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11"/>
      <c r="B22" s="52"/>
      <c r="C22" s="53"/>
      <c r="D22" s="53"/>
      <c r="E22" s="53"/>
      <c r="F22" s="5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11"/>
      <c r="B23" s="52"/>
      <c r="C23" s="53"/>
      <c r="D23" s="53"/>
      <c r="E23" s="53"/>
      <c r="F23" s="5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11"/>
      <c r="B24" s="52"/>
      <c r="C24" s="53"/>
      <c r="D24" s="53"/>
      <c r="E24" s="53"/>
      <c r="F24" s="5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11"/>
      <c r="B25" s="52"/>
      <c r="C25" s="53"/>
      <c r="D25" s="53"/>
      <c r="E25" s="53"/>
      <c r="F25" s="5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1"/>
      <c r="B26" s="52"/>
      <c r="C26" s="53"/>
      <c r="D26" s="53"/>
      <c r="E26" s="53"/>
      <c r="F26" s="5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11"/>
      <c r="B27" s="52"/>
      <c r="C27" s="53"/>
      <c r="D27" s="53"/>
      <c r="E27" s="53"/>
      <c r="F27" s="5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1"/>
      <c r="B28" s="52"/>
      <c r="C28" s="53"/>
      <c r="D28" s="53"/>
      <c r="E28" s="53"/>
      <c r="F28" s="5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11"/>
      <c r="B29" s="52"/>
      <c r="C29" s="53"/>
      <c r="D29" s="53"/>
      <c r="E29" s="53"/>
      <c r="F29" s="5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1"/>
      <c r="B30" s="52"/>
      <c r="C30" s="53"/>
      <c r="D30" s="53"/>
      <c r="E30" s="53"/>
      <c r="F30" s="5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1"/>
      <c r="B31" s="52"/>
      <c r="C31" s="53"/>
      <c r="D31" s="53"/>
      <c r="E31" s="53"/>
      <c r="F31" s="5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1"/>
      <c r="B32" s="52"/>
      <c r="C32" s="53"/>
      <c r="D32" s="53"/>
      <c r="E32" s="53"/>
      <c r="F32" s="5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1"/>
      <c r="B33" s="52"/>
      <c r="C33" s="53"/>
      <c r="D33" s="53"/>
      <c r="E33" s="53"/>
      <c r="F33" s="5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1"/>
      <c r="B34" s="52"/>
      <c r="C34" s="53"/>
      <c r="D34" s="53"/>
      <c r="E34" s="53"/>
      <c r="F34" s="5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1"/>
      <c r="B35" s="52"/>
      <c r="C35" s="53"/>
      <c r="D35" s="53"/>
      <c r="E35" s="53"/>
      <c r="F35" s="5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1"/>
      <c r="B36" s="52"/>
      <c r="C36" s="53"/>
      <c r="D36" s="53"/>
      <c r="E36" s="53"/>
      <c r="F36" s="5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52"/>
      <c r="C37" s="53"/>
      <c r="D37" s="53"/>
      <c r="E37" s="53"/>
      <c r="F37" s="5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52"/>
      <c r="C38" s="53"/>
      <c r="D38" s="53"/>
      <c r="E38" s="53"/>
      <c r="F38" s="5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52"/>
      <c r="C39" s="53"/>
      <c r="D39" s="53"/>
      <c r="E39" s="53"/>
      <c r="F39" s="5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52"/>
      <c r="C40" s="53"/>
      <c r="D40" s="53"/>
      <c r="E40" s="53"/>
      <c r="F40" s="5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52"/>
      <c r="C41" s="53"/>
      <c r="D41" s="53"/>
      <c r="E41" s="53"/>
      <c r="F41" s="5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52"/>
      <c r="C42" s="53"/>
      <c r="D42" s="53"/>
      <c r="E42" s="53"/>
      <c r="F42" s="5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52"/>
      <c r="C43" s="53"/>
      <c r="D43" s="53"/>
      <c r="E43" s="53"/>
      <c r="F43" s="5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52"/>
      <c r="C44" s="53"/>
      <c r="D44" s="53"/>
      <c r="E44" s="53"/>
      <c r="F44" s="5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52"/>
      <c r="C45" s="53"/>
      <c r="D45" s="53"/>
      <c r="E45" s="53"/>
      <c r="F45" s="5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52"/>
      <c r="C46" s="53"/>
      <c r="D46" s="53"/>
      <c r="E46" s="53"/>
      <c r="F46" s="5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52"/>
      <c r="C47" s="53"/>
      <c r="D47" s="53"/>
      <c r="E47" s="53"/>
      <c r="F47" s="5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52"/>
      <c r="C48" s="53"/>
      <c r="D48" s="53"/>
      <c r="E48" s="53"/>
      <c r="F48" s="5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52"/>
      <c r="C49" s="53"/>
      <c r="D49" s="53"/>
      <c r="E49" s="53"/>
      <c r="F49" s="5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52"/>
      <c r="C50" s="53"/>
      <c r="D50" s="53"/>
      <c r="E50" s="53"/>
      <c r="F50" s="5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52"/>
      <c r="C51" s="53"/>
      <c r="D51" s="53"/>
      <c r="E51" s="53"/>
      <c r="F51" s="5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52"/>
      <c r="C52" s="53"/>
      <c r="D52" s="53"/>
      <c r="E52" s="53"/>
      <c r="F52" s="5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52"/>
      <c r="C53" s="53"/>
      <c r="D53" s="53"/>
      <c r="E53" s="53"/>
      <c r="F53" s="5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52"/>
      <c r="C54" s="53"/>
      <c r="D54" s="53"/>
      <c r="E54" s="53"/>
      <c r="F54" s="5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52"/>
      <c r="C55" s="53"/>
      <c r="D55" s="53"/>
      <c r="E55" s="53"/>
      <c r="F55" s="5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52"/>
      <c r="C56" s="53"/>
      <c r="D56" s="53"/>
      <c r="E56" s="53"/>
      <c r="F56" s="5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52"/>
      <c r="C57" s="53"/>
      <c r="D57" s="53"/>
      <c r="E57" s="53"/>
      <c r="F57" s="5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52"/>
      <c r="C58" s="53"/>
      <c r="D58" s="53"/>
      <c r="E58" s="53"/>
      <c r="F58" s="5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52"/>
      <c r="C59" s="53"/>
      <c r="D59" s="53"/>
      <c r="E59" s="53"/>
      <c r="F59" s="5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52"/>
      <c r="C60" s="53"/>
      <c r="D60" s="53"/>
      <c r="E60" s="53"/>
      <c r="F60" s="5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52"/>
      <c r="C61" s="53"/>
      <c r="D61" s="53"/>
      <c r="E61" s="53"/>
      <c r="F61" s="5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52"/>
      <c r="C62" s="53"/>
      <c r="D62" s="53"/>
      <c r="E62" s="53"/>
      <c r="F62" s="5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52"/>
      <c r="C63" s="53"/>
      <c r="D63" s="53"/>
      <c r="E63" s="53"/>
      <c r="F63" s="53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52"/>
      <c r="C64" s="53"/>
      <c r="D64" s="53"/>
      <c r="E64" s="53"/>
      <c r="F64" s="53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52"/>
      <c r="C65" s="53"/>
      <c r="D65" s="53"/>
      <c r="E65" s="53"/>
      <c r="F65" s="53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52"/>
      <c r="C66" s="53"/>
      <c r="D66" s="53"/>
      <c r="E66" s="53"/>
      <c r="F66" s="5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52"/>
      <c r="C67" s="53"/>
      <c r="D67" s="53"/>
      <c r="E67" s="53"/>
      <c r="F67" s="5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52"/>
      <c r="C68" s="53"/>
      <c r="D68" s="53"/>
      <c r="E68" s="53"/>
      <c r="F68" s="5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52"/>
      <c r="C69" s="53"/>
      <c r="D69" s="53"/>
      <c r="E69" s="53"/>
      <c r="F69" s="5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52"/>
      <c r="C70" s="53"/>
      <c r="D70" s="53"/>
      <c r="E70" s="53"/>
      <c r="F70" s="5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52"/>
      <c r="C71" s="53"/>
      <c r="D71" s="53"/>
      <c r="E71" s="53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52"/>
      <c r="C72" s="53"/>
      <c r="D72" s="53"/>
      <c r="E72" s="53"/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52"/>
      <c r="C73" s="53"/>
      <c r="D73" s="53"/>
      <c r="E73" s="53"/>
      <c r="F73" s="5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52"/>
      <c r="C74" s="53"/>
      <c r="D74" s="53"/>
      <c r="E74" s="53"/>
      <c r="F74" s="5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52"/>
      <c r="C75" s="53"/>
      <c r="D75" s="53"/>
      <c r="E75" s="53"/>
      <c r="F75" s="5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52"/>
      <c r="C76" s="53"/>
      <c r="D76" s="53"/>
      <c r="E76" s="53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52"/>
      <c r="C77" s="53"/>
      <c r="D77" s="53"/>
      <c r="E77" s="53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52"/>
      <c r="C78" s="53"/>
      <c r="D78" s="53"/>
      <c r="E78" s="53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52"/>
      <c r="C79" s="53"/>
      <c r="D79" s="53"/>
      <c r="E79" s="53"/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52"/>
      <c r="C80" s="53"/>
      <c r="D80" s="53"/>
      <c r="E80" s="53"/>
      <c r="F80" s="5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52"/>
      <c r="C81" s="53"/>
      <c r="D81" s="53"/>
      <c r="E81" s="53"/>
      <c r="F81" s="5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52"/>
      <c r="C82" s="53"/>
      <c r="D82" s="53"/>
      <c r="E82" s="53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52"/>
      <c r="C83" s="53"/>
      <c r="D83" s="53"/>
      <c r="E83" s="53"/>
      <c r="F83" s="5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52"/>
      <c r="C84" s="53"/>
      <c r="D84" s="53"/>
      <c r="E84" s="53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52"/>
      <c r="C85" s="53"/>
      <c r="D85" s="53"/>
      <c r="E85" s="53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52"/>
      <c r="C86" s="53"/>
      <c r="D86" s="53"/>
      <c r="E86" s="53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52"/>
      <c r="C87" s="53"/>
      <c r="D87" s="53"/>
      <c r="E87" s="53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52"/>
      <c r="C88" s="53"/>
      <c r="D88" s="53"/>
      <c r="E88" s="53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52"/>
      <c r="C89" s="53"/>
      <c r="D89" s="53"/>
      <c r="E89" s="53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52"/>
      <c r="C90" s="53"/>
      <c r="D90" s="53"/>
      <c r="E90" s="53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52"/>
      <c r="C91" s="53"/>
      <c r="D91" s="53"/>
      <c r="E91" s="53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52"/>
      <c r="C92" s="53"/>
      <c r="D92" s="53"/>
      <c r="E92" s="53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52"/>
      <c r="C93" s="53"/>
      <c r="D93" s="53"/>
      <c r="E93" s="53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52"/>
      <c r="C94" s="53"/>
      <c r="D94" s="53"/>
      <c r="E94" s="53"/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52"/>
      <c r="C95" s="53"/>
      <c r="D95" s="53"/>
      <c r="E95" s="53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52"/>
      <c r="C96" s="53"/>
      <c r="D96" s="53"/>
      <c r="E96" s="53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52"/>
      <c r="C97" s="53"/>
      <c r="D97" s="53"/>
      <c r="E97" s="53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52"/>
      <c r="C98" s="53"/>
      <c r="D98" s="53"/>
      <c r="E98" s="53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52"/>
      <c r="C99" s="53"/>
      <c r="D99" s="53"/>
      <c r="E99" s="53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52"/>
      <c r="C100" s="53"/>
      <c r="D100" s="53"/>
      <c r="E100" s="53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52"/>
      <c r="C101" s="53"/>
      <c r="D101" s="53"/>
      <c r="E101" s="53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52"/>
      <c r="C102" s="53"/>
      <c r="D102" s="53"/>
      <c r="E102" s="53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52"/>
      <c r="C103" s="53"/>
      <c r="D103" s="53"/>
      <c r="E103" s="53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52"/>
      <c r="C104" s="53"/>
      <c r="D104" s="53"/>
      <c r="E104" s="53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52"/>
      <c r="C105" s="53"/>
      <c r="D105" s="53"/>
      <c r="E105" s="53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52"/>
      <c r="C106" s="53"/>
      <c r="D106" s="53"/>
      <c r="E106" s="53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52"/>
      <c r="C107" s="53"/>
      <c r="D107" s="53"/>
      <c r="E107" s="53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52"/>
      <c r="C108" s="53"/>
      <c r="D108" s="53"/>
      <c r="E108" s="53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52"/>
      <c r="C109" s="53"/>
      <c r="D109" s="53"/>
      <c r="E109" s="53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52"/>
      <c r="C110" s="53"/>
      <c r="D110" s="53"/>
      <c r="E110" s="53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52"/>
      <c r="C111" s="53"/>
      <c r="D111" s="53"/>
      <c r="E111" s="53"/>
      <c r="F111" s="5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52"/>
      <c r="C112" s="53"/>
      <c r="D112" s="53"/>
      <c r="E112" s="53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52"/>
      <c r="C113" s="53"/>
      <c r="D113" s="53"/>
      <c r="E113" s="53"/>
      <c r="F113" s="5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52"/>
      <c r="C114" s="53"/>
      <c r="D114" s="53"/>
      <c r="E114" s="53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52"/>
      <c r="C115" s="53"/>
      <c r="D115" s="53"/>
      <c r="E115" s="53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52"/>
      <c r="C116" s="53"/>
      <c r="D116" s="53"/>
      <c r="E116" s="53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52"/>
      <c r="C117" s="53"/>
      <c r="D117" s="53"/>
      <c r="E117" s="53"/>
      <c r="F117" s="5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52"/>
      <c r="C118" s="53"/>
      <c r="D118" s="53"/>
      <c r="E118" s="53"/>
      <c r="F118" s="5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52"/>
      <c r="C119" s="53"/>
      <c r="D119" s="53"/>
      <c r="E119" s="53"/>
      <c r="F119" s="5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52"/>
      <c r="C120" s="53"/>
      <c r="D120" s="53"/>
      <c r="E120" s="53"/>
      <c r="F120" s="5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52"/>
      <c r="C121" s="53"/>
      <c r="D121" s="53"/>
      <c r="E121" s="53"/>
      <c r="F121" s="5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52"/>
      <c r="C122" s="53"/>
      <c r="D122" s="53"/>
      <c r="E122" s="53"/>
      <c r="F122" s="5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52"/>
      <c r="C123" s="53"/>
      <c r="D123" s="53"/>
      <c r="E123" s="53"/>
      <c r="F123" s="5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52"/>
      <c r="C124" s="53"/>
      <c r="D124" s="53"/>
      <c r="E124" s="53"/>
      <c r="F124" s="5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52"/>
      <c r="C125" s="53"/>
      <c r="D125" s="53"/>
      <c r="E125" s="53"/>
      <c r="F125" s="5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52"/>
      <c r="C126" s="53"/>
      <c r="D126" s="53"/>
      <c r="E126" s="53"/>
      <c r="F126" s="5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52"/>
      <c r="C127" s="53"/>
      <c r="D127" s="53"/>
      <c r="E127" s="53"/>
      <c r="F127" s="5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52"/>
      <c r="C128" s="53"/>
      <c r="D128" s="53"/>
      <c r="E128" s="53"/>
      <c r="F128" s="5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52"/>
      <c r="C129" s="53"/>
      <c r="D129" s="53"/>
      <c r="E129" s="53"/>
      <c r="F129" s="5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52"/>
      <c r="C130" s="53"/>
      <c r="D130" s="53"/>
      <c r="E130" s="53"/>
      <c r="F130" s="5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52"/>
      <c r="C131" s="53"/>
      <c r="D131" s="53"/>
      <c r="E131" s="53"/>
      <c r="F131" s="5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52"/>
      <c r="C132" s="53"/>
      <c r="D132" s="53"/>
      <c r="E132" s="53"/>
      <c r="F132" s="5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52"/>
      <c r="C133" s="53"/>
      <c r="D133" s="53"/>
      <c r="E133" s="53"/>
      <c r="F133" s="5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52"/>
      <c r="C134" s="53"/>
      <c r="D134" s="53"/>
      <c r="E134" s="53"/>
      <c r="F134" s="5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52"/>
      <c r="C135" s="53"/>
      <c r="D135" s="53"/>
      <c r="E135" s="53"/>
      <c r="F135" s="5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52"/>
      <c r="C136" s="53"/>
      <c r="D136" s="53"/>
      <c r="E136" s="53"/>
      <c r="F136" s="5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52"/>
      <c r="C137" s="53"/>
      <c r="D137" s="53"/>
      <c r="E137" s="53"/>
      <c r="F137" s="5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52"/>
      <c r="C138" s="53"/>
      <c r="D138" s="53"/>
      <c r="E138" s="53"/>
      <c r="F138" s="5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52"/>
      <c r="C139" s="53"/>
      <c r="D139" s="53"/>
      <c r="E139" s="53"/>
      <c r="F139" s="5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52"/>
      <c r="C140" s="53"/>
      <c r="D140" s="53"/>
      <c r="E140" s="53"/>
      <c r="F140" s="5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52"/>
      <c r="C141" s="53"/>
      <c r="D141" s="53"/>
      <c r="E141" s="53"/>
      <c r="F141" s="5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52"/>
      <c r="C142" s="53"/>
      <c r="D142" s="53"/>
      <c r="E142" s="53"/>
      <c r="F142" s="5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52"/>
      <c r="C143" s="53"/>
      <c r="D143" s="53"/>
      <c r="E143" s="53"/>
      <c r="F143" s="5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52"/>
      <c r="C144" s="53"/>
      <c r="D144" s="53"/>
      <c r="E144" s="53"/>
      <c r="F144" s="5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52"/>
      <c r="C145" s="53"/>
      <c r="D145" s="53"/>
      <c r="E145" s="53"/>
      <c r="F145" s="5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52"/>
      <c r="C146" s="53"/>
      <c r="D146" s="53"/>
      <c r="E146" s="53"/>
      <c r="F146" s="5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52"/>
      <c r="C147" s="53"/>
      <c r="D147" s="53"/>
      <c r="E147" s="53"/>
      <c r="F147" s="5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52"/>
      <c r="C148" s="53"/>
      <c r="D148" s="53"/>
      <c r="E148" s="53"/>
      <c r="F148" s="5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52"/>
      <c r="C149" s="53"/>
      <c r="D149" s="53"/>
      <c r="E149" s="53"/>
      <c r="F149" s="5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52"/>
      <c r="C150" s="53"/>
      <c r="D150" s="53"/>
      <c r="E150" s="53"/>
      <c r="F150" s="5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52"/>
      <c r="C151" s="53"/>
      <c r="D151" s="53"/>
      <c r="E151" s="53"/>
      <c r="F151" s="5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52"/>
      <c r="C152" s="53"/>
      <c r="D152" s="53"/>
      <c r="E152" s="53"/>
      <c r="F152" s="5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52"/>
      <c r="C153" s="53"/>
      <c r="D153" s="53"/>
      <c r="E153" s="53"/>
      <c r="F153" s="5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52"/>
      <c r="C154" s="53"/>
      <c r="D154" s="53"/>
      <c r="E154" s="53"/>
      <c r="F154" s="5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52"/>
      <c r="C155" s="53"/>
      <c r="D155" s="53"/>
      <c r="E155" s="53"/>
      <c r="F155" s="5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52"/>
      <c r="C156" s="53"/>
      <c r="D156" s="53"/>
      <c r="E156" s="53"/>
      <c r="F156" s="5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52"/>
      <c r="C157" s="53"/>
      <c r="D157" s="53"/>
      <c r="E157" s="53"/>
      <c r="F157" s="5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52"/>
      <c r="C158" s="53"/>
      <c r="D158" s="53"/>
      <c r="E158" s="53"/>
      <c r="F158" s="5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52"/>
      <c r="C159" s="53"/>
      <c r="D159" s="53"/>
      <c r="E159" s="53"/>
      <c r="F159" s="5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52"/>
      <c r="C160" s="53"/>
      <c r="D160" s="53"/>
      <c r="E160" s="53"/>
      <c r="F160" s="5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52"/>
      <c r="C161" s="53"/>
      <c r="D161" s="53"/>
      <c r="E161" s="53"/>
      <c r="F161" s="5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52"/>
      <c r="C162" s="53"/>
      <c r="D162" s="53"/>
      <c r="E162" s="53"/>
      <c r="F162" s="5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52"/>
      <c r="C163" s="53"/>
      <c r="D163" s="53"/>
      <c r="E163" s="53"/>
      <c r="F163" s="5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52"/>
      <c r="C164" s="53"/>
      <c r="D164" s="53"/>
      <c r="E164" s="53"/>
      <c r="F164" s="5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52"/>
      <c r="C165" s="53"/>
      <c r="D165" s="53"/>
      <c r="E165" s="53"/>
      <c r="F165" s="5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52"/>
      <c r="C166" s="53"/>
      <c r="D166" s="53"/>
      <c r="E166" s="53"/>
      <c r="F166" s="5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52"/>
      <c r="C167" s="53"/>
      <c r="D167" s="53"/>
      <c r="E167" s="53"/>
      <c r="F167" s="5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52"/>
      <c r="C168" s="53"/>
      <c r="D168" s="53"/>
      <c r="E168" s="53"/>
      <c r="F168" s="5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52"/>
      <c r="C169" s="53"/>
      <c r="D169" s="53"/>
      <c r="E169" s="53"/>
      <c r="F169" s="5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52"/>
      <c r="C170" s="53"/>
      <c r="D170" s="53"/>
      <c r="E170" s="53"/>
      <c r="F170" s="5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52"/>
      <c r="C171" s="53"/>
      <c r="D171" s="53"/>
      <c r="E171" s="53"/>
      <c r="F171" s="5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52"/>
      <c r="C172" s="53"/>
      <c r="D172" s="53"/>
      <c r="E172" s="53"/>
      <c r="F172" s="5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52"/>
      <c r="C173" s="53"/>
      <c r="D173" s="53"/>
      <c r="E173" s="53"/>
      <c r="F173" s="5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52"/>
      <c r="C174" s="53"/>
      <c r="D174" s="53"/>
      <c r="E174" s="53"/>
      <c r="F174" s="5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52"/>
      <c r="C175" s="53"/>
      <c r="D175" s="53"/>
      <c r="E175" s="53"/>
      <c r="F175" s="5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52"/>
      <c r="C176" s="53"/>
      <c r="D176" s="53"/>
      <c r="E176" s="53"/>
      <c r="F176" s="5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52"/>
      <c r="C177" s="53"/>
      <c r="D177" s="53"/>
      <c r="E177" s="53"/>
      <c r="F177" s="5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52"/>
      <c r="C178" s="53"/>
      <c r="D178" s="53"/>
      <c r="E178" s="53"/>
      <c r="F178" s="5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52"/>
      <c r="C179" s="53"/>
      <c r="D179" s="53"/>
      <c r="E179" s="53"/>
      <c r="F179" s="5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52"/>
      <c r="C180" s="53"/>
      <c r="D180" s="53"/>
      <c r="E180" s="53"/>
      <c r="F180" s="5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52"/>
      <c r="C181" s="53"/>
      <c r="D181" s="53"/>
      <c r="E181" s="53"/>
      <c r="F181" s="5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52"/>
      <c r="C182" s="53"/>
      <c r="D182" s="53"/>
      <c r="E182" s="53"/>
      <c r="F182" s="5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52"/>
      <c r="C183" s="53"/>
      <c r="D183" s="53"/>
      <c r="E183" s="53"/>
      <c r="F183" s="5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52"/>
      <c r="C184" s="53"/>
      <c r="D184" s="53"/>
      <c r="E184" s="53"/>
      <c r="F184" s="5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52"/>
      <c r="C185" s="53"/>
      <c r="D185" s="53"/>
      <c r="E185" s="53"/>
      <c r="F185" s="5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52"/>
      <c r="C186" s="53"/>
      <c r="D186" s="53"/>
      <c r="E186" s="53"/>
      <c r="F186" s="5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52"/>
      <c r="C187" s="53"/>
      <c r="D187" s="53"/>
      <c r="E187" s="53"/>
      <c r="F187" s="5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52"/>
      <c r="C188" s="53"/>
      <c r="D188" s="53"/>
      <c r="E188" s="53"/>
      <c r="F188" s="5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52"/>
      <c r="C189" s="53"/>
      <c r="D189" s="53"/>
      <c r="E189" s="53"/>
      <c r="F189" s="5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52"/>
      <c r="C190" s="53"/>
      <c r="D190" s="53"/>
      <c r="E190" s="53"/>
      <c r="F190" s="5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52"/>
      <c r="C191" s="53"/>
      <c r="D191" s="53"/>
      <c r="E191" s="53"/>
      <c r="F191" s="5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52"/>
      <c r="C192" s="53"/>
      <c r="D192" s="53"/>
      <c r="E192" s="53"/>
      <c r="F192" s="5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52"/>
      <c r="C193" s="53"/>
      <c r="D193" s="53"/>
      <c r="E193" s="53"/>
      <c r="F193" s="5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52"/>
      <c r="C194" s="53"/>
      <c r="D194" s="53"/>
      <c r="E194" s="53"/>
      <c r="F194" s="5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52"/>
      <c r="C195" s="53"/>
      <c r="D195" s="53"/>
      <c r="E195" s="53"/>
      <c r="F195" s="5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52"/>
      <c r="C196" s="53"/>
      <c r="D196" s="53"/>
      <c r="E196" s="53"/>
      <c r="F196" s="5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52"/>
      <c r="C197" s="53"/>
      <c r="D197" s="53"/>
      <c r="E197" s="53"/>
      <c r="F197" s="5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52"/>
      <c r="C198" s="53"/>
      <c r="D198" s="53"/>
      <c r="E198" s="53"/>
      <c r="F198" s="5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52"/>
      <c r="C199" s="53"/>
      <c r="D199" s="53"/>
      <c r="E199" s="53"/>
      <c r="F199" s="5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52"/>
      <c r="C200" s="53"/>
      <c r="D200" s="53"/>
      <c r="E200" s="53"/>
      <c r="F200" s="5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52"/>
      <c r="C201" s="53"/>
      <c r="D201" s="53"/>
      <c r="E201" s="53"/>
      <c r="F201" s="5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52"/>
      <c r="C202" s="53"/>
      <c r="D202" s="53"/>
      <c r="E202" s="53"/>
      <c r="F202" s="5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52"/>
      <c r="C203" s="53"/>
      <c r="D203" s="53"/>
      <c r="E203" s="53"/>
      <c r="F203" s="5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52"/>
      <c r="C204" s="53"/>
      <c r="D204" s="53"/>
      <c r="E204" s="53"/>
      <c r="F204" s="5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52"/>
      <c r="C205" s="53"/>
      <c r="D205" s="53"/>
      <c r="E205" s="53"/>
      <c r="F205" s="5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52"/>
      <c r="C206" s="53"/>
      <c r="D206" s="53"/>
      <c r="E206" s="53"/>
      <c r="F206" s="5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52"/>
      <c r="C207" s="53"/>
      <c r="D207" s="53"/>
      <c r="E207" s="53"/>
      <c r="F207" s="5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52"/>
      <c r="C208" s="53"/>
      <c r="D208" s="53"/>
      <c r="E208" s="53"/>
      <c r="F208" s="5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52"/>
      <c r="C209" s="53"/>
      <c r="D209" s="53"/>
      <c r="E209" s="53"/>
      <c r="F209" s="5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52"/>
      <c r="C210" s="53"/>
      <c r="D210" s="53"/>
      <c r="E210" s="53"/>
      <c r="F210" s="5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52"/>
      <c r="C211" s="53"/>
      <c r="D211" s="53"/>
      <c r="E211" s="53"/>
      <c r="F211" s="5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52"/>
      <c r="C212" s="53"/>
      <c r="D212" s="53"/>
      <c r="E212" s="53"/>
      <c r="F212" s="5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52"/>
      <c r="C213" s="53"/>
      <c r="D213" s="53"/>
      <c r="E213" s="53"/>
      <c r="F213" s="5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52"/>
      <c r="C214" s="53"/>
      <c r="D214" s="53"/>
      <c r="E214" s="53"/>
      <c r="F214" s="5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52"/>
      <c r="C215" s="53"/>
      <c r="D215" s="53"/>
      <c r="E215" s="53"/>
      <c r="F215" s="5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52"/>
      <c r="C216" s="53"/>
      <c r="D216" s="53"/>
      <c r="E216" s="53"/>
      <c r="F216" s="5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52"/>
      <c r="C217" s="53"/>
      <c r="D217" s="53"/>
      <c r="E217" s="53"/>
      <c r="F217" s="5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52"/>
      <c r="C218" s="53"/>
      <c r="D218" s="53"/>
      <c r="E218" s="53"/>
      <c r="F218" s="5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52"/>
      <c r="C219" s="53"/>
      <c r="D219" s="53"/>
      <c r="E219" s="53"/>
      <c r="F219" s="5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52"/>
      <c r="C220" s="53"/>
      <c r="D220" s="53"/>
      <c r="E220" s="53"/>
      <c r="F220" s="5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8.13"/>
    <col customWidth="1" min="2" max="2" width="27.13"/>
    <col customWidth="1" min="3" max="3" width="43.75"/>
    <col customWidth="1" min="4" max="4" width="38.5"/>
    <col customWidth="1" min="5" max="5" width="15.13"/>
    <col customWidth="1" min="6" max="6" width="7.13"/>
    <col customWidth="1" min="7" max="7" width="10.38"/>
    <col customWidth="1" min="8" max="8" width="17.63"/>
    <col customWidth="1" min="9" max="9" width="15.13"/>
    <col customWidth="1" min="10" max="19" width="9.0"/>
    <col customWidth="1" min="20" max="26" width="8.0"/>
  </cols>
  <sheetData>
    <row r="1" ht="17.25" customHeight="1">
      <c r="A1" s="78"/>
      <c r="B1" s="79"/>
      <c r="C1" s="79"/>
      <c r="D1" s="79"/>
      <c r="E1" s="79"/>
      <c r="F1" s="80"/>
      <c r="G1" s="81"/>
      <c r="H1" s="82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 t="s">
        <v>48</v>
      </c>
      <c r="B2" s="85" t="s">
        <v>33</v>
      </c>
      <c r="C2" s="6"/>
      <c r="D2" s="6"/>
      <c r="E2" s="6"/>
      <c r="F2" s="86"/>
      <c r="G2" s="59"/>
      <c r="H2" s="82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ht="68.25" customHeight="1">
      <c r="A3" s="87" t="s">
        <v>49</v>
      </c>
      <c r="B3" s="88" t="s">
        <v>50</v>
      </c>
      <c r="C3" s="6"/>
      <c r="D3" s="6"/>
      <c r="E3" s="6"/>
      <c r="F3" s="86"/>
      <c r="G3" s="59"/>
      <c r="H3" s="82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ht="18.0" customHeight="1">
      <c r="A4" s="84" t="s">
        <v>51</v>
      </c>
      <c r="B4" s="89" t="s">
        <v>52</v>
      </c>
      <c r="C4" s="90"/>
      <c r="D4" s="90"/>
      <c r="E4" s="90"/>
      <c r="F4" s="91"/>
      <c r="G4" s="59"/>
      <c r="H4" s="82"/>
      <c r="I4" s="92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ht="19.5" customHeight="1">
      <c r="A5" s="93" t="s">
        <v>53</v>
      </c>
      <c r="B5" s="94" t="s">
        <v>54</v>
      </c>
      <c r="C5" s="94" t="s">
        <v>55</v>
      </c>
      <c r="D5" s="95" t="s">
        <v>56</v>
      </c>
      <c r="E5" s="96" t="s">
        <v>57</v>
      </c>
      <c r="F5" s="86"/>
      <c r="G5" s="97"/>
      <c r="H5" s="98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>
      <c r="A6" s="99">
        <f>COUNTIF(F11:F1147,"Pass")</f>
        <v>0</v>
      </c>
      <c r="B6" s="100">
        <f>COUNTIF(F11:F1147,"Fail")</f>
        <v>0</v>
      </c>
      <c r="C6" s="100">
        <f>E6-D6-B6-A6</f>
        <v>104</v>
      </c>
      <c r="D6" s="101">
        <f>COUNTIF(F$11:F$1147,"N/A")</f>
        <v>0</v>
      </c>
      <c r="E6" s="102">
        <f>COUNTA(A11:A1147)</f>
        <v>104</v>
      </c>
      <c r="F6" s="103"/>
      <c r="G6" s="97"/>
      <c r="H6" s="98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>
      <c r="A7" s="83"/>
      <c r="B7" s="83"/>
      <c r="C7" s="83"/>
      <c r="D7" s="104"/>
      <c r="E7" s="104"/>
      <c r="F7" s="97"/>
      <c r="G7" s="97"/>
      <c r="H7" s="98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ht="25.5" customHeight="1">
      <c r="A8" s="105" t="s">
        <v>58</v>
      </c>
      <c r="B8" s="105" t="s">
        <v>59</v>
      </c>
      <c r="C8" s="105" t="s">
        <v>60</v>
      </c>
      <c r="D8" s="105" t="s">
        <v>61</v>
      </c>
      <c r="E8" s="106" t="s">
        <v>62</v>
      </c>
      <c r="F8" s="106" t="s">
        <v>63</v>
      </c>
      <c r="G8" s="106" t="s">
        <v>64</v>
      </c>
      <c r="H8" s="107" t="s">
        <v>65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ht="15.75" customHeight="1">
      <c r="A9" s="108"/>
      <c r="B9" s="108" t="s">
        <v>66</v>
      </c>
      <c r="C9" s="109"/>
      <c r="D9" s="110"/>
      <c r="E9" s="109"/>
      <c r="F9" s="109"/>
      <c r="G9" s="109"/>
      <c r="H9" s="111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>
      <c r="A10" s="108"/>
      <c r="B10" s="108" t="s">
        <v>67</v>
      </c>
      <c r="C10" s="109"/>
      <c r="D10" s="110"/>
      <c r="E10" s="109"/>
      <c r="F10" s="109"/>
      <c r="G10" s="109"/>
      <c r="H10" s="112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6.5" customHeight="1">
      <c r="A11" s="113" t="s">
        <v>68</v>
      </c>
      <c r="B11" s="113" t="s">
        <v>69</v>
      </c>
      <c r="C11" s="114"/>
      <c r="D11" s="115"/>
      <c r="E11" s="116"/>
      <c r="F11" s="114"/>
      <c r="G11" s="114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ht="33.0" customHeight="1">
      <c r="A12" s="119"/>
      <c r="B12" s="119"/>
      <c r="C12" s="114" t="s">
        <v>70</v>
      </c>
      <c r="D12" s="115" t="s">
        <v>71</v>
      </c>
      <c r="E12" s="116"/>
      <c r="F12" s="114"/>
      <c r="G12" s="114"/>
      <c r="H12" s="117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ht="16.5" customHeight="1">
      <c r="A13" s="23"/>
      <c r="B13" s="23"/>
      <c r="C13" s="114" t="s">
        <v>72</v>
      </c>
      <c r="D13" s="115" t="s">
        <v>73</v>
      </c>
      <c r="E13" s="116"/>
      <c r="F13" s="114"/>
      <c r="G13" s="114"/>
      <c r="H13" s="117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ht="33.0" customHeight="1">
      <c r="A14" s="114" t="s">
        <v>74</v>
      </c>
      <c r="B14" s="114" t="s">
        <v>75</v>
      </c>
      <c r="C14" s="114"/>
      <c r="D14" s="120" t="s">
        <v>73</v>
      </c>
      <c r="E14" s="120"/>
      <c r="F14" s="114"/>
      <c r="G14" s="114"/>
      <c r="H14" s="117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13" t="s">
        <v>76</v>
      </c>
      <c r="B15" s="113" t="s">
        <v>77</v>
      </c>
      <c r="C15" s="114"/>
      <c r="D15" s="120" t="s">
        <v>78</v>
      </c>
      <c r="E15" s="120"/>
      <c r="F15" s="114"/>
      <c r="G15" s="114"/>
      <c r="H15" s="117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3.0" customHeight="1">
      <c r="A16" s="119"/>
      <c r="B16" s="119"/>
      <c r="C16" s="114" t="s">
        <v>79</v>
      </c>
      <c r="D16" s="120" t="s">
        <v>80</v>
      </c>
      <c r="E16" s="120"/>
      <c r="F16" s="114"/>
      <c r="G16" s="114"/>
      <c r="H16" s="117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3.0" customHeight="1">
      <c r="A17" s="23"/>
      <c r="B17" s="23"/>
      <c r="C17" s="114" t="s">
        <v>81</v>
      </c>
      <c r="D17" s="120" t="s">
        <v>82</v>
      </c>
      <c r="E17" s="120"/>
      <c r="F17" s="114"/>
      <c r="G17" s="114"/>
      <c r="H17" s="117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3.0" customHeight="1">
      <c r="A18" s="113" t="s">
        <v>83</v>
      </c>
      <c r="B18" s="113" t="s">
        <v>84</v>
      </c>
      <c r="C18" s="114" t="s">
        <v>85</v>
      </c>
      <c r="D18" s="120" t="s">
        <v>71</v>
      </c>
      <c r="E18" s="120"/>
      <c r="F18" s="114"/>
      <c r="G18" s="114"/>
      <c r="H18" s="117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21"/>
      <c r="B19" s="121"/>
      <c r="C19" s="114" t="s">
        <v>72</v>
      </c>
      <c r="D19" s="120" t="s">
        <v>73</v>
      </c>
      <c r="E19" s="120"/>
      <c r="F19" s="114"/>
      <c r="G19" s="114"/>
      <c r="H19" s="117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3.0" customHeight="1">
      <c r="A20" s="113" t="s">
        <v>86</v>
      </c>
      <c r="B20" s="113" t="s">
        <v>87</v>
      </c>
      <c r="C20" s="114" t="s">
        <v>88</v>
      </c>
      <c r="D20" s="120" t="s">
        <v>89</v>
      </c>
      <c r="E20" s="120"/>
      <c r="F20" s="114"/>
      <c r="G20" s="114"/>
      <c r="H20" s="11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23"/>
      <c r="B21" s="23"/>
      <c r="C21" s="114" t="s">
        <v>72</v>
      </c>
      <c r="D21" s="120" t="s">
        <v>73</v>
      </c>
      <c r="E21" s="120"/>
      <c r="F21" s="114"/>
      <c r="G21" s="114"/>
      <c r="H21" s="11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3.0" customHeight="1">
      <c r="A22" s="122" t="s">
        <v>90</v>
      </c>
      <c r="B22" s="123" t="s">
        <v>91</v>
      </c>
      <c r="C22" s="114" t="s">
        <v>92</v>
      </c>
      <c r="D22" s="120" t="s">
        <v>71</v>
      </c>
      <c r="E22" s="120"/>
      <c r="F22" s="114"/>
      <c r="G22" s="114"/>
      <c r="H22" s="11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23"/>
      <c r="B23" s="23"/>
      <c r="C23" s="114" t="s">
        <v>72</v>
      </c>
      <c r="D23" s="120" t="s">
        <v>73</v>
      </c>
      <c r="E23" s="120"/>
      <c r="F23" s="114"/>
      <c r="G23" s="114"/>
      <c r="H23" s="11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3.0" customHeight="1">
      <c r="A24" s="123" t="s">
        <v>93</v>
      </c>
      <c r="B24" s="123" t="s">
        <v>94</v>
      </c>
      <c r="C24" s="114" t="s">
        <v>95</v>
      </c>
      <c r="D24" s="120" t="s">
        <v>71</v>
      </c>
      <c r="E24" s="120"/>
      <c r="F24" s="114"/>
      <c r="G24" s="114"/>
      <c r="H24" s="11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23"/>
      <c r="B25" s="23"/>
      <c r="C25" s="114" t="s">
        <v>72</v>
      </c>
      <c r="D25" s="120" t="s">
        <v>73</v>
      </c>
      <c r="E25" s="120"/>
      <c r="F25" s="114"/>
      <c r="G25" s="114"/>
      <c r="H25" s="11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49.5" customHeight="1">
      <c r="A26" s="123" t="s">
        <v>96</v>
      </c>
      <c r="B26" s="123" t="s">
        <v>97</v>
      </c>
      <c r="C26" s="114" t="s">
        <v>98</v>
      </c>
      <c r="D26" s="120" t="s">
        <v>71</v>
      </c>
      <c r="E26" s="120"/>
      <c r="F26" s="114"/>
      <c r="G26" s="114"/>
      <c r="H26" s="11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3"/>
      <c r="B27" s="23"/>
      <c r="C27" s="114" t="s">
        <v>72</v>
      </c>
      <c r="D27" s="120" t="s">
        <v>73</v>
      </c>
      <c r="E27" s="120"/>
      <c r="F27" s="114"/>
      <c r="G27" s="114"/>
      <c r="H27" s="11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49.5" customHeight="1">
      <c r="A28" s="123" t="s">
        <v>99</v>
      </c>
      <c r="B28" s="123" t="s">
        <v>100</v>
      </c>
      <c r="C28" s="114" t="s">
        <v>98</v>
      </c>
      <c r="D28" s="120" t="s">
        <v>71</v>
      </c>
      <c r="E28" s="120"/>
      <c r="F28" s="114"/>
      <c r="G28" s="114"/>
      <c r="H28" s="11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3"/>
      <c r="B29" s="23"/>
      <c r="C29" s="114" t="s">
        <v>72</v>
      </c>
      <c r="D29" s="120" t="s">
        <v>73</v>
      </c>
      <c r="E29" s="120"/>
      <c r="F29" s="114"/>
      <c r="G29" s="114"/>
      <c r="H29" s="11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09"/>
      <c r="B30" s="108" t="s">
        <v>101</v>
      </c>
      <c r="C30" s="109"/>
      <c r="D30" s="110"/>
      <c r="E30" s="109"/>
      <c r="F30" s="109"/>
      <c r="G30" s="109"/>
      <c r="H30" s="11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49.5" customHeight="1">
      <c r="A31" s="114" t="s">
        <v>102</v>
      </c>
      <c r="B31" s="114" t="s">
        <v>103</v>
      </c>
      <c r="C31" s="114" t="s">
        <v>104</v>
      </c>
      <c r="D31" s="124" t="s">
        <v>105</v>
      </c>
      <c r="E31" s="114"/>
      <c r="F31" s="114"/>
      <c r="G31" s="114"/>
      <c r="H31" s="117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97.5" customHeight="1">
      <c r="A32" s="125" t="s">
        <v>106</v>
      </c>
      <c r="B32" s="125" t="s">
        <v>107</v>
      </c>
      <c r="C32" s="125" t="s">
        <v>108</v>
      </c>
      <c r="D32" s="114" t="s">
        <v>109</v>
      </c>
      <c r="E32" s="126"/>
      <c r="F32" s="126"/>
      <c r="G32" s="126"/>
      <c r="H32" s="11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49.5" customHeight="1">
      <c r="A33" s="125" t="s">
        <v>110</v>
      </c>
      <c r="B33" s="125" t="s">
        <v>111</v>
      </c>
      <c r="C33" s="125" t="s">
        <v>112</v>
      </c>
      <c r="D33" s="114" t="s">
        <v>113</v>
      </c>
      <c r="E33" s="126"/>
      <c r="F33" s="126"/>
      <c r="G33" s="126"/>
      <c r="H33" s="11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49.5" customHeight="1">
      <c r="A34" s="125" t="s">
        <v>114</v>
      </c>
      <c r="B34" s="125" t="s">
        <v>115</v>
      </c>
      <c r="C34" s="125" t="s">
        <v>116</v>
      </c>
      <c r="D34" s="114" t="s">
        <v>117</v>
      </c>
      <c r="E34" s="126"/>
      <c r="F34" s="126"/>
      <c r="G34" s="126"/>
      <c r="H34" s="11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49.5" customHeight="1">
      <c r="A35" s="125" t="s">
        <v>118</v>
      </c>
      <c r="B35" s="125" t="s">
        <v>119</v>
      </c>
      <c r="C35" s="125" t="s">
        <v>120</v>
      </c>
      <c r="D35" s="114" t="s">
        <v>121</v>
      </c>
      <c r="E35" s="126"/>
      <c r="F35" s="126"/>
      <c r="G35" s="126"/>
      <c r="H35" s="11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08"/>
      <c r="B36" s="108" t="s">
        <v>122</v>
      </c>
      <c r="C36" s="109"/>
      <c r="D36" s="110"/>
      <c r="E36" s="109"/>
      <c r="F36" s="109"/>
      <c r="G36" s="109"/>
      <c r="H36" s="11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08"/>
      <c r="B37" s="108" t="s">
        <v>123</v>
      </c>
      <c r="C37" s="109"/>
      <c r="D37" s="110"/>
      <c r="E37" s="109"/>
      <c r="F37" s="109"/>
      <c r="G37" s="109"/>
      <c r="H37" s="1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49.5" customHeight="1">
      <c r="A38" s="127" t="s">
        <v>124</v>
      </c>
      <c r="B38" s="128" t="s">
        <v>125</v>
      </c>
      <c r="C38" s="128" t="s">
        <v>126</v>
      </c>
      <c r="D38" s="129" t="s">
        <v>127</v>
      </c>
      <c r="E38" s="128"/>
      <c r="F38" s="128"/>
      <c r="G38" s="128"/>
      <c r="H38" s="11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3.0" customHeight="1">
      <c r="A39" s="127" t="s">
        <v>128</v>
      </c>
      <c r="B39" s="128" t="s">
        <v>129</v>
      </c>
      <c r="C39" s="128" t="s">
        <v>130</v>
      </c>
      <c r="D39" s="129" t="s">
        <v>131</v>
      </c>
      <c r="E39" s="128"/>
      <c r="F39" s="128"/>
      <c r="G39" s="128"/>
      <c r="H39" s="11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27" t="s">
        <v>132</v>
      </c>
      <c r="B40" s="128" t="s">
        <v>133</v>
      </c>
      <c r="C40" s="128" t="s">
        <v>134</v>
      </c>
      <c r="D40" s="129" t="s">
        <v>73</v>
      </c>
      <c r="E40" s="128"/>
      <c r="F40" s="128"/>
      <c r="G40" s="128"/>
      <c r="H40" s="11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49.5" customHeight="1">
      <c r="A41" s="127" t="s">
        <v>135</v>
      </c>
      <c r="B41" s="128" t="s">
        <v>136</v>
      </c>
      <c r="C41" s="128" t="s">
        <v>137</v>
      </c>
      <c r="D41" s="129" t="s">
        <v>138</v>
      </c>
      <c r="E41" s="128"/>
      <c r="F41" s="128"/>
      <c r="G41" s="128"/>
      <c r="H41" s="11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27" t="s">
        <v>139</v>
      </c>
      <c r="B42" s="128" t="s">
        <v>140</v>
      </c>
      <c r="C42" s="128" t="s">
        <v>141</v>
      </c>
      <c r="D42" s="129" t="s">
        <v>73</v>
      </c>
      <c r="E42" s="128"/>
      <c r="F42" s="128"/>
      <c r="G42" s="128"/>
      <c r="H42" s="11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49.5" customHeight="1">
      <c r="A43" s="127" t="s">
        <v>142</v>
      </c>
      <c r="B43" s="128" t="s">
        <v>143</v>
      </c>
      <c r="C43" s="128" t="s">
        <v>144</v>
      </c>
      <c r="D43" s="129" t="s">
        <v>138</v>
      </c>
      <c r="E43" s="128"/>
      <c r="F43" s="128"/>
      <c r="G43" s="128"/>
      <c r="H43" s="11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3.0" customHeight="1">
      <c r="A44" s="127" t="s">
        <v>145</v>
      </c>
      <c r="B44" s="128" t="s">
        <v>146</v>
      </c>
      <c r="C44" s="128" t="s">
        <v>147</v>
      </c>
      <c r="D44" s="129" t="s">
        <v>148</v>
      </c>
      <c r="E44" s="128"/>
      <c r="F44" s="128"/>
      <c r="G44" s="128"/>
      <c r="H44" s="117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49.5" customHeight="1">
      <c r="A45" s="127" t="s">
        <v>149</v>
      </c>
      <c r="B45" s="128" t="s">
        <v>150</v>
      </c>
      <c r="C45" s="128" t="s">
        <v>151</v>
      </c>
      <c r="D45" s="129" t="s">
        <v>127</v>
      </c>
      <c r="E45" s="128"/>
      <c r="F45" s="128"/>
      <c r="G45" s="128"/>
      <c r="H45" s="117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49.5" customHeight="1">
      <c r="A46" s="127" t="s">
        <v>152</v>
      </c>
      <c r="B46" s="128" t="s">
        <v>153</v>
      </c>
      <c r="C46" s="128" t="s">
        <v>154</v>
      </c>
      <c r="D46" s="129" t="s">
        <v>138</v>
      </c>
      <c r="E46" s="128"/>
      <c r="F46" s="128"/>
      <c r="G46" s="128"/>
      <c r="H46" s="117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6.5" customHeight="1">
      <c r="A47" s="127" t="s">
        <v>155</v>
      </c>
      <c r="B47" s="128" t="s">
        <v>156</v>
      </c>
      <c r="C47" s="128"/>
      <c r="D47" s="130" t="s">
        <v>73</v>
      </c>
      <c r="E47" s="128"/>
      <c r="F47" s="128"/>
      <c r="G47" s="128"/>
      <c r="H47" s="117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6.5" customHeight="1">
      <c r="A48" s="127" t="s">
        <v>157</v>
      </c>
      <c r="B48" s="128" t="s">
        <v>158</v>
      </c>
      <c r="C48" s="128"/>
      <c r="D48" s="129" t="s">
        <v>73</v>
      </c>
      <c r="E48" s="128"/>
      <c r="F48" s="128"/>
      <c r="G48" s="128"/>
      <c r="H48" s="117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6.5" customHeight="1">
      <c r="A49" s="127" t="s">
        <v>159</v>
      </c>
      <c r="B49" s="128" t="s">
        <v>160</v>
      </c>
      <c r="C49" s="128"/>
      <c r="D49" s="129" t="s">
        <v>73</v>
      </c>
      <c r="E49" s="128"/>
      <c r="F49" s="128"/>
      <c r="G49" s="128"/>
      <c r="H49" s="117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6.5" customHeight="1">
      <c r="A50" s="131"/>
      <c r="B50" s="108" t="s">
        <v>161</v>
      </c>
      <c r="C50" s="109"/>
      <c r="D50" s="132"/>
      <c r="E50" s="108"/>
      <c r="F50" s="109"/>
      <c r="G50" s="109"/>
      <c r="H50" s="112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49.5" customHeight="1">
      <c r="A51" s="133" t="s">
        <v>162</v>
      </c>
      <c r="B51" s="134" t="s">
        <v>163</v>
      </c>
      <c r="C51" s="134" t="s">
        <v>164</v>
      </c>
      <c r="D51" s="135" t="s">
        <v>165</v>
      </c>
      <c r="E51" s="133"/>
      <c r="F51" s="133"/>
      <c r="G51" s="133"/>
      <c r="H51" s="117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66.0" customHeight="1">
      <c r="A52" s="136" t="s">
        <v>166</v>
      </c>
      <c r="B52" s="134" t="s">
        <v>167</v>
      </c>
      <c r="C52" s="134" t="s">
        <v>168</v>
      </c>
      <c r="D52" s="129" t="s">
        <v>169</v>
      </c>
      <c r="E52" s="136"/>
      <c r="F52" s="136"/>
      <c r="G52" s="136"/>
      <c r="H52" s="117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51.0" customHeight="1">
      <c r="A53" s="136" t="s">
        <v>170</v>
      </c>
      <c r="B53" s="134" t="s">
        <v>171</v>
      </c>
      <c r="C53" s="134" t="s">
        <v>172</v>
      </c>
      <c r="D53" s="134" t="s">
        <v>173</v>
      </c>
      <c r="E53" s="133"/>
      <c r="F53" s="133"/>
      <c r="G53" s="133"/>
      <c r="H53" s="117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51.0" customHeight="1">
      <c r="A54" s="136" t="s">
        <v>174</v>
      </c>
      <c r="B54" s="134" t="s">
        <v>175</v>
      </c>
      <c r="C54" s="134" t="s">
        <v>176</v>
      </c>
      <c r="D54" s="134" t="s">
        <v>177</v>
      </c>
      <c r="E54" s="136"/>
      <c r="F54" s="133"/>
      <c r="G54" s="133"/>
      <c r="H54" s="117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80.25" customHeight="1">
      <c r="A55" s="136" t="s">
        <v>178</v>
      </c>
      <c r="B55" s="134" t="s">
        <v>179</v>
      </c>
      <c r="C55" s="134" t="s">
        <v>180</v>
      </c>
      <c r="D55" s="134" t="s">
        <v>181</v>
      </c>
      <c r="E55" s="133"/>
      <c r="F55" s="133"/>
      <c r="G55" s="133"/>
      <c r="H55" s="117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49.5" customHeight="1">
      <c r="A56" s="127" t="s">
        <v>182</v>
      </c>
      <c r="B56" s="128" t="s">
        <v>183</v>
      </c>
      <c r="C56" s="137" t="s">
        <v>184</v>
      </c>
      <c r="D56" s="138" t="s">
        <v>185</v>
      </c>
      <c r="E56" s="128"/>
      <c r="F56" s="128"/>
      <c r="G56" s="128"/>
      <c r="H56" s="117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66.0" customHeight="1">
      <c r="A57" s="133" t="s">
        <v>186</v>
      </c>
      <c r="B57" s="136" t="s">
        <v>187</v>
      </c>
      <c r="C57" s="137" t="s">
        <v>188</v>
      </c>
      <c r="D57" s="129" t="s">
        <v>189</v>
      </c>
      <c r="E57" s="128"/>
      <c r="F57" s="128"/>
      <c r="G57" s="128"/>
      <c r="H57" s="117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66.0" customHeight="1">
      <c r="A58" s="133" t="s">
        <v>190</v>
      </c>
      <c r="B58" s="136" t="s">
        <v>191</v>
      </c>
      <c r="C58" s="137" t="s">
        <v>192</v>
      </c>
      <c r="D58" s="129" t="s">
        <v>193</v>
      </c>
      <c r="E58" s="128"/>
      <c r="F58" s="128"/>
      <c r="G58" s="128"/>
      <c r="H58" s="117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66.0" customHeight="1">
      <c r="A59" s="133" t="s">
        <v>194</v>
      </c>
      <c r="B59" s="136" t="s">
        <v>195</v>
      </c>
      <c r="C59" s="137" t="s">
        <v>196</v>
      </c>
      <c r="D59" s="129" t="s">
        <v>197</v>
      </c>
      <c r="E59" s="128"/>
      <c r="F59" s="128"/>
      <c r="G59" s="128"/>
      <c r="H59" s="117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66.0" customHeight="1">
      <c r="A60" s="127" t="s">
        <v>198</v>
      </c>
      <c r="B60" s="129" t="s">
        <v>199</v>
      </c>
      <c r="C60" s="130" t="s">
        <v>200</v>
      </c>
      <c r="D60" s="129" t="s">
        <v>201</v>
      </c>
      <c r="E60" s="128"/>
      <c r="F60" s="128"/>
      <c r="G60" s="128"/>
      <c r="H60" s="117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66.0" customHeight="1">
      <c r="A61" s="127" t="s">
        <v>202</v>
      </c>
      <c r="B61" s="129" t="s">
        <v>203</v>
      </c>
      <c r="C61" s="130" t="s">
        <v>204</v>
      </c>
      <c r="D61" s="129" t="s">
        <v>205</v>
      </c>
      <c r="E61" s="128"/>
      <c r="F61" s="128"/>
      <c r="G61" s="128"/>
      <c r="H61" s="117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49.5" customHeight="1">
      <c r="A62" s="127" t="s">
        <v>206</v>
      </c>
      <c r="B62" s="129" t="s">
        <v>207</v>
      </c>
      <c r="C62" s="130" t="s">
        <v>208</v>
      </c>
      <c r="D62" s="129" t="s">
        <v>209</v>
      </c>
      <c r="E62" s="128"/>
      <c r="F62" s="128"/>
      <c r="G62" s="128"/>
      <c r="H62" s="117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49.5" customHeight="1">
      <c r="A63" s="127" t="s">
        <v>210</v>
      </c>
      <c r="B63" s="129" t="s">
        <v>211</v>
      </c>
      <c r="C63" s="130" t="s">
        <v>212</v>
      </c>
      <c r="D63" s="129" t="s">
        <v>213</v>
      </c>
      <c r="E63" s="128"/>
      <c r="F63" s="128"/>
      <c r="G63" s="128"/>
      <c r="H63" s="117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49.5" customHeight="1">
      <c r="A64" s="127" t="s">
        <v>214</v>
      </c>
      <c r="B64" s="128" t="s">
        <v>215</v>
      </c>
      <c r="C64" s="130" t="s">
        <v>216</v>
      </c>
      <c r="D64" s="129" t="s">
        <v>217</v>
      </c>
      <c r="E64" s="128"/>
      <c r="F64" s="128"/>
      <c r="G64" s="128"/>
      <c r="H64" s="117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49.5" customHeight="1">
      <c r="A65" s="133" t="s">
        <v>218</v>
      </c>
      <c r="B65" s="136" t="s">
        <v>219</v>
      </c>
      <c r="C65" s="137" t="s">
        <v>220</v>
      </c>
      <c r="D65" s="129" t="s">
        <v>221</v>
      </c>
      <c r="E65" s="128"/>
      <c r="F65" s="128"/>
      <c r="G65" s="128"/>
      <c r="H65" s="117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49.5" customHeight="1">
      <c r="A66" s="127" t="s">
        <v>222</v>
      </c>
      <c r="B66" s="128" t="s">
        <v>223</v>
      </c>
      <c r="C66" s="130" t="s">
        <v>224</v>
      </c>
      <c r="D66" s="129" t="s">
        <v>225</v>
      </c>
      <c r="E66" s="128"/>
      <c r="F66" s="128"/>
      <c r="G66" s="128"/>
      <c r="H66" s="117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66.0" customHeight="1">
      <c r="A67" s="127" t="s">
        <v>226</v>
      </c>
      <c r="B67" s="128" t="s">
        <v>227</v>
      </c>
      <c r="C67" s="130" t="s">
        <v>228</v>
      </c>
      <c r="D67" s="129" t="s">
        <v>229</v>
      </c>
      <c r="E67" s="128"/>
      <c r="F67" s="128"/>
      <c r="G67" s="128"/>
      <c r="H67" s="117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66.0" customHeight="1">
      <c r="A68" s="133" t="s">
        <v>230</v>
      </c>
      <c r="B68" s="136" t="s">
        <v>231</v>
      </c>
      <c r="C68" s="137" t="s">
        <v>232</v>
      </c>
      <c r="D68" s="129" t="s">
        <v>233</v>
      </c>
      <c r="E68" s="128"/>
      <c r="F68" s="128"/>
      <c r="G68" s="128"/>
      <c r="H68" s="117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49.5" customHeight="1">
      <c r="A69" s="127" t="s">
        <v>234</v>
      </c>
      <c r="B69" s="128" t="s">
        <v>235</v>
      </c>
      <c r="C69" s="130" t="s">
        <v>236</v>
      </c>
      <c r="D69" s="129" t="s">
        <v>237</v>
      </c>
      <c r="E69" s="128"/>
      <c r="F69" s="128"/>
      <c r="G69" s="128"/>
      <c r="H69" s="117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49.5" customHeight="1">
      <c r="A70" s="127" t="s">
        <v>238</v>
      </c>
      <c r="B70" s="128" t="s">
        <v>239</v>
      </c>
      <c r="C70" s="130" t="s">
        <v>240</v>
      </c>
      <c r="D70" s="129" t="s">
        <v>241</v>
      </c>
      <c r="E70" s="128"/>
      <c r="F70" s="128"/>
      <c r="G70" s="128"/>
      <c r="H70" s="117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66.0" customHeight="1">
      <c r="A71" s="133" t="s">
        <v>242</v>
      </c>
      <c r="B71" s="136" t="s">
        <v>243</v>
      </c>
      <c r="C71" s="137" t="s">
        <v>244</v>
      </c>
      <c r="D71" s="129" t="s">
        <v>245</v>
      </c>
      <c r="E71" s="128"/>
      <c r="F71" s="128"/>
      <c r="G71" s="128"/>
      <c r="H71" s="117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66.0" customHeight="1">
      <c r="A72" s="127" t="s">
        <v>246</v>
      </c>
      <c r="B72" s="129" t="s">
        <v>247</v>
      </c>
      <c r="C72" s="130" t="s">
        <v>248</v>
      </c>
      <c r="D72" s="129" t="s">
        <v>249</v>
      </c>
      <c r="E72" s="128"/>
      <c r="F72" s="128"/>
      <c r="G72" s="128"/>
      <c r="H72" s="117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66.0" customHeight="1">
      <c r="A73" s="127" t="s">
        <v>250</v>
      </c>
      <c r="B73" s="129" t="s">
        <v>251</v>
      </c>
      <c r="C73" s="130" t="s">
        <v>252</v>
      </c>
      <c r="D73" s="129" t="s">
        <v>253</v>
      </c>
      <c r="E73" s="128"/>
      <c r="F73" s="128"/>
      <c r="G73" s="128"/>
      <c r="H73" s="117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66.0" customHeight="1">
      <c r="A74" s="127" t="s">
        <v>254</v>
      </c>
      <c r="B74" s="128" t="s">
        <v>255</v>
      </c>
      <c r="C74" s="130" t="s">
        <v>256</v>
      </c>
      <c r="D74" s="129" t="s">
        <v>257</v>
      </c>
      <c r="E74" s="128"/>
      <c r="F74" s="128"/>
      <c r="G74" s="128"/>
      <c r="H74" s="117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49.5" customHeight="1">
      <c r="A75" s="127" t="s">
        <v>258</v>
      </c>
      <c r="B75" s="128" t="s">
        <v>259</v>
      </c>
      <c r="C75" s="130" t="s">
        <v>260</v>
      </c>
      <c r="D75" s="129" t="s">
        <v>261</v>
      </c>
      <c r="E75" s="128"/>
      <c r="F75" s="128"/>
      <c r="G75" s="128"/>
      <c r="H75" s="117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66.0" customHeight="1">
      <c r="A76" s="127" t="s">
        <v>262</v>
      </c>
      <c r="B76" s="128" t="s">
        <v>263</v>
      </c>
      <c r="C76" s="130" t="s">
        <v>264</v>
      </c>
      <c r="D76" s="129" t="s">
        <v>265</v>
      </c>
      <c r="E76" s="128"/>
      <c r="F76" s="128"/>
      <c r="G76" s="128"/>
      <c r="H76" s="117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66.0" customHeight="1">
      <c r="A77" s="127" t="s">
        <v>266</v>
      </c>
      <c r="B77" s="129" t="s">
        <v>267</v>
      </c>
      <c r="C77" s="130" t="s">
        <v>268</v>
      </c>
      <c r="D77" s="129" t="s">
        <v>269</v>
      </c>
      <c r="E77" s="128"/>
      <c r="F77" s="128"/>
      <c r="G77" s="128"/>
      <c r="H77" s="117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49.5" customHeight="1">
      <c r="A78" s="127" t="s">
        <v>270</v>
      </c>
      <c r="B78" s="129" t="s">
        <v>271</v>
      </c>
      <c r="C78" s="130" t="s">
        <v>272</v>
      </c>
      <c r="D78" s="129" t="s">
        <v>269</v>
      </c>
      <c r="E78" s="128"/>
      <c r="F78" s="128"/>
      <c r="G78" s="128"/>
      <c r="H78" s="117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66.0" customHeight="1">
      <c r="A79" s="127" t="s">
        <v>273</v>
      </c>
      <c r="B79" s="129" t="s">
        <v>274</v>
      </c>
      <c r="C79" s="130" t="s">
        <v>275</v>
      </c>
      <c r="D79" s="129" t="s">
        <v>269</v>
      </c>
      <c r="E79" s="128"/>
      <c r="F79" s="128"/>
      <c r="G79" s="128"/>
      <c r="H79" s="117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66.0" customHeight="1">
      <c r="A80" s="127" t="s">
        <v>276</v>
      </c>
      <c r="B80" s="136" t="s">
        <v>277</v>
      </c>
      <c r="C80" s="137" t="s">
        <v>278</v>
      </c>
      <c r="D80" s="129" t="s">
        <v>279</v>
      </c>
      <c r="E80" s="133"/>
      <c r="F80" s="133"/>
      <c r="G80" s="133"/>
      <c r="H80" s="117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33.0" customHeight="1">
      <c r="A81" s="127" t="s">
        <v>280</v>
      </c>
      <c r="B81" s="136" t="s">
        <v>281</v>
      </c>
      <c r="C81" s="137" t="s">
        <v>282</v>
      </c>
      <c r="D81" s="129" t="s">
        <v>283</v>
      </c>
      <c r="E81" s="133"/>
      <c r="F81" s="133"/>
      <c r="G81" s="133"/>
      <c r="H81" s="117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6.5" customHeight="1">
      <c r="A82" s="131"/>
      <c r="B82" s="108" t="s">
        <v>284</v>
      </c>
      <c r="C82" s="109"/>
      <c r="D82" s="132"/>
      <c r="E82" s="108"/>
      <c r="F82" s="109"/>
      <c r="G82" s="109"/>
      <c r="H82" s="112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6.5" customHeight="1">
      <c r="A83" s="108"/>
      <c r="B83" s="108" t="s">
        <v>285</v>
      </c>
      <c r="C83" s="109"/>
      <c r="D83" s="132"/>
      <c r="E83" s="108"/>
      <c r="F83" s="109"/>
      <c r="G83" s="109"/>
      <c r="H83" s="112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66.0" customHeight="1">
      <c r="A84" s="127" t="s">
        <v>286</v>
      </c>
      <c r="B84" s="128" t="s">
        <v>125</v>
      </c>
      <c r="C84" s="128" t="s">
        <v>287</v>
      </c>
      <c r="D84" s="129" t="s">
        <v>288</v>
      </c>
      <c r="E84" s="128"/>
      <c r="F84" s="128"/>
      <c r="G84" s="128"/>
      <c r="H84" s="117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66.0" customHeight="1">
      <c r="A85" s="127" t="s">
        <v>289</v>
      </c>
      <c r="B85" s="128" t="s">
        <v>129</v>
      </c>
      <c r="C85" s="128" t="s">
        <v>130</v>
      </c>
      <c r="D85" s="129" t="s">
        <v>290</v>
      </c>
      <c r="E85" s="128"/>
      <c r="F85" s="128"/>
      <c r="G85" s="128"/>
      <c r="H85" s="117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49.5" customHeight="1">
      <c r="A86" s="127" t="s">
        <v>291</v>
      </c>
      <c r="B86" s="128" t="s">
        <v>133</v>
      </c>
      <c r="C86" s="128" t="s">
        <v>134</v>
      </c>
      <c r="D86" s="129" t="s">
        <v>292</v>
      </c>
      <c r="E86" s="128"/>
      <c r="F86" s="128"/>
      <c r="G86" s="128"/>
      <c r="H86" s="117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66.0" customHeight="1">
      <c r="A87" s="127" t="s">
        <v>293</v>
      </c>
      <c r="B87" s="128" t="s">
        <v>136</v>
      </c>
      <c r="C87" s="128" t="s">
        <v>137</v>
      </c>
      <c r="D87" s="129" t="s">
        <v>294</v>
      </c>
      <c r="E87" s="128"/>
      <c r="F87" s="128"/>
      <c r="G87" s="128"/>
      <c r="H87" s="117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6.5" customHeight="1">
      <c r="A88" s="127" t="s">
        <v>295</v>
      </c>
      <c r="B88" s="128" t="s">
        <v>140</v>
      </c>
      <c r="C88" s="128" t="s">
        <v>141</v>
      </c>
      <c r="D88" s="129" t="s">
        <v>73</v>
      </c>
      <c r="E88" s="128"/>
      <c r="F88" s="128"/>
      <c r="G88" s="128"/>
      <c r="H88" s="117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6.5" customHeight="1">
      <c r="A89" s="127" t="s">
        <v>296</v>
      </c>
      <c r="B89" s="128" t="s">
        <v>143</v>
      </c>
      <c r="C89" s="128" t="s">
        <v>144</v>
      </c>
      <c r="D89" s="129" t="s">
        <v>297</v>
      </c>
      <c r="E89" s="128"/>
      <c r="F89" s="128"/>
      <c r="G89" s="128"/>
      <c r="H89" s="117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33.0" customHeight="1">
      <c r="A90" s="127" t="s">
        <v>298</v>
      </c>
      <c r="B90" s="128" t="s">
        <v>146</v>
      </c>
      <c r="C90" s="128" t="s">
        <v>147</v>
      </c>
      <c r="D90" s="129" t="s">
        <v>148</v>
      </c>
      <c r="E90" s="128"/>
      <c r="F90" s="128"/>
      <c r="G90" s="128"/>
      <c r="H90" s="117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33.0" customHeight="1">
      <c r="A91" s="127" t="s">
        <v>299</v>
      </c>
      <c r="B91" s="128" t="s">
        <v>150</v>
      </c>
      <c r="C91" s="128" t="s">
        <v>151</v>
      </c>
      <c r="D91" s="129" t="s">
        <v>300</v>
      </c>
      <c r="E91" s="128"/>
      <c r="F91" s="128"/>
      <c r="G91" s="128"/>
      <c r="H91" s="117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66.0" customHeight="1">
      <c r="A92" s="127" t="s">
        <v>301</v>
      </c>
      <c r="B92" s="128" t="s">
        <v>153</v>
      </c>
      <c r="C92" s="128" t="s">
        <v>154</v>
      </c>
      <c r="D92" s="129" t="s">
        <v>302</v>
      </c>
      <c r="E92" s="128"/>
      <c r="F92" s="128"/>
      <c r="G92" s="128"/>
      <c r="H92" s="117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6.5" customHeight="1">
      <c r="A93" s="127" t="s">
        <v>303</v>
      </c>
      <c r="B93" s="128" t="s">
        <v>304</v>
      </c>
      <c r="C93" s="128"/>
      <c r="D93" s="130" t="s">
        <v>73</v>
      </c>
      <c r="E93" s="128"/>
      <c r="F93" s="128"/>
      <c r="G93" s="128"/>
      <c r="H93" s="117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6.5" customHeight="1">
      <c r="A94" s="127" t="s">
        <v>305</v>
      </c>
      <c r="B94" s="128" t="s">
        <v>158</v>
      </c>
      <c r="C94" s="128"/>
      <c r="D94" s="129" t="s">
        <v>73</v>
      </c>
      <c r="E94" s="128"/>
      <c r="F94" s="128"/>
      <c r="G94" s="128"/>
      <c r="H94" s="117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6.5" customHeight="1">
      <c r="A95" s="127" t="s">
        <v>306</v>
      </c>
      <c r="B95" s="128" t="s">
        <v>160</v>
      </c>
      <c r="C95" s="128"/>
      <c r="D95" s="129" t="s">
        <v>73</v>
      </c>
      <c r="E95" s="128"/>
      <c r="F95" s="128"/>
      <c r="G95" s="128"/>
      <c r="H95" s="117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6.5" customHeight="1">
      <c r="A96" s="108"/>
      <c r="B96" s="108" t="s">
        <v>307</v>
      </c>
      <c r="C96" s="109"/>
      <c r="D96" s="132"/>
      <c r="E96" s="108"/>
      <c r="F96" s="109"/>
      <c r="G96" s="109"/>
      <c r="H96" s="109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66.0" customHeight="1">
      <c r="A97" s="136" t="s">
        <v>308</v>
      </c>
      <c r="B97" s="134" t="s">
        <v>309</v>
      </c>
      <c r="C97" s="134" t="s">
        <v>38</v>
      </c>
      <c r="D97" s="135" t="s">
        <v>310</v>
      </c>
      <c r="E97" s="133"/>
      <c r="F97" s="133"/>
      <c r="G97" s="133"/>
      <c r="H97" s="117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33.0" customHeight="1">
      <c r="A98" s="136" t="s">
        <v>311</v>
      </c>
      <c r="B98" s="136" t="s">
        <v>167</v>
      </c>
      <c r="C98" s="134" t="s">
        <v>312</v>
      </c>
      <c r="D98" s="129" t="s">
        <v>313</v>
      </c>
      <c r="E98" s="136"/>
      <c r="F98" s="136"/>
      <c r="G98" s="138"/>
      <c r="H98" s="117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66.0" customHeight="1">
      <c r="A99" s="127" t="s">
        <v>314</v>
      </c>
      <c r="B99" s="128" t="s">
        <v>175</v>
      </c>
      <c r="C99" s="129" t="s">
        <v>315</v>
      </c>
      <c r="D99" s="129" t="s">
        <v>177</v>
      </c>
      <c r="E99" s="128"/>
      <c r="F99" s="128"/>
      <c r="G99" s="128"/>
      <c r="H99" s="117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66.0" customHeight="1">
      <c r="A100" s="127" t="s">
        <v>316</v>
      </c>
      <c r="B100" s="128" t="s">
        <v>179</v>
      </c>
      <c r="C100" s="129" t="s">
        <v>317</v>
      </c>
      <c r="D100" s="129" t="s">
        <v>181</v>
      </c>
      <c r="E100" s="128"/>
      <c r="F100" s="128"/>
      <c r="G100" s="128"/>
      <c r="H100" s="117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49.5" customHeight="1">
      <c r="A101" s="127" t="s">
        <v>318</v>
      </c>
      <c r="B101" s="128" t="s">
        <v>183</v>
      </c>
      <c r="C101" s="129" t="s">
        <v>319</v>
      </c>
      <c r="D101" s="129" t="s">
        <v>185</v>
      </c>
      <c r="E101" s="128"/>
      <c r="F101" s="128"/>
      <c r="G101" s="128"/>
      <c r="H101" s="117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66.0" customHeight="1">
      <c r="A102" s="127" t="s">
        <v>320</v>
      </c>
      <c r="B102" s="128" t="s">
        <v>187</v>
      </c>
      <c r="C102" s="129" t="s">
        <v>321</v>
      </c>
      <c r="D102" s="129" t="s">
        <v>189</v>
      </c>
      <c r="E102" s="139"/>
      <c r="F102" s="128"/>
      <c r="G102" s="128"/>
      <c r="H102" s="117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66.0" customHeight="1">
      <c r="A103" s="127" t="s">
        <v>322</v>
      </c>
      <c r="B103" s="128" t="s">
        <v>191</v>
      </c>
      <c r="C103" s="129" t="s">
        <v>323</v>
      </c>
      <c r="D103" s="129" t="s">
        <v>324</v>
      </c>
      <c r="E103" s="139"/>
      <c r="F103" s="128"/>
      <c r="G103" s="128"/>
      <c r="H103" s="117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66.0" customHeight="1">
      <c r="A104" s="127" t="s">
        <v>325</v>
      </c>
      <c r="B104" s="128" t="s">
        <v>195</v>
      </c>
      <c r="C104" s="129" t="s">
        <v>326</v>
      </c>
      <c r="D104" s="129" t="s">
        <v>197</v>
      </c>
      <c r="E104" s="128"/>
      <c r="F104" s="128"/>
      <c r="G104" s="128"/>
      <c r="H104" s="117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66.0" customHeight="1">
      <c r="A105" s="127" t="s">
        <v>327</v>
      </c>
      <c r="B105" s="128" t="s">
        <v>203</v>
      </c>
      <c r="C105" s="129" t="s">
        <v>328</v>
      </c>
      <c r="D105" s="129" t="s">
        <v>205</v>
      </c>
      <c r="E105" s="128"/>
      <c r="F105" s="128"/>
      <c r="G105" s="128"/>
      <c r="H105" s="117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66.0" customHeight="1">
      <c r="A106" s="127" t="s">
        <v>329</v>
      </c>
      <c r="B106" s="129" t="s">
        <v>207</v>
      </c>
      <c r="C106" s="129" t="s">
        <v>330</v>
      </c>
      <c r="D106" s="129" t="s">
        <v>209</v>
      </c>
      <c r="E106" s="128"/>
      <c r="F106" s="128"/>
      <c r="G106" s="128"/>
      <c r="H106" s="117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66.0" customHeight="1">
      <c r="A107" s="127" t="s">
        <v>331</v>
      </c>
      <c r="B107" s="129" t="s">
        <v>211</v>
      </c>
      <c r="C107" s="129" t="s">
        <v>332</v>
      </c>
      <c r="D107" s="129" t="s">
        <v>213</v>
      </c>
      <c r="E107" s="128"/>
      <c r="F107" s="128"/>
      <c r="G107" s="128"/>
      <c r="H107" s="117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66.0" customHeight="1">
      <c r="A108" s="127" t="s">
        <v>333</v>
      </c>
      <c r="B108" s="129" t="s">
        <v>334</v>
      </c>
      <c r="C108" s="129" t="s">
        <v>335</v>
      </c>
      <c r="D108" s="129" t="s">
        <v>336</v>
      </c>
      <c r="E108" s="128"/>
      <c r="F108" s="128"/>
      <c r="G108" s="128"/>
      <c r="H108" s="117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49.5" customHeight="1">
      <c r="A109" s="127" t="s">
        <v>337</v>
      </c>
      <c r="B109" s="128" t="s">
        <v>215</v>
      </c>
      <c r="C109" s="129" t="s">
        <v>338</v>
      </c>
      <c r="D109" s="129" t="s">
        <v>217</v>
      </c>
      <c r="E109" s="128"/>
      <c r="F109" s="128"/>
      <c r="G109" s="128"/>
      <c r="H109" s="117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49.5" customHeight="1">
      <c r="A110" s="127" t="s">
        <v>339</v>
      </c>
      <c r="B110" s="128" t="s">
        <v>219</v>
      </c>
      <c r="C110" s="129" t="s">
        <v>340</v>
      </c>
      <c r="D110" s="129" t="s">
        <v>221</v>
      </c>
      <c r="E110" s="128"/>
      <c r="F110" s="128"/>
      <c r="G110" s="128"/>
      <c r="H110" s="117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66.0" customHeight="1">
      <c r="A111" s="127" t="s">
        <v>341</v>
      </c>
      <c r="B111" s="128" t="s">
        <v>227</v>
      </c>
      <c r="C111" s="129" t="s">
        <v>342</v>
      </c>
      <c r="D111" s="129" t="s">
        <v>229</v>
      </c>
      <c r="E111" s="128"/>
      <c r="F111" s="128"/>
      <c r="G111" s="128"/>
      <c r="H111" s="117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66.0" customHeight="1">
      <c r="A112" s="127" t="s">
        <v>343</v>
      </c>
      <c r="B112" s="128" t="s">
        <v>231</v>
      </c>
      <c r="C112" s="129" t="s">
        <v>344</v>
      </c>
      <c r="D112" s="129" t="s">
        <v>233</v>
      </c>
      <c r="E112" s="128"/>
      <c r="F112" s="128"/>
      <c r="G112" s="128"/>
      <c r="H112" s="117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49.5" customHeight="1">
      <c r="A113" s="127" t="s">
        <v>345</v>
      </c>
      <c r="B113" s="129" t="s">
        <v>235</v>
      </c>
      <c r="C113" s="129" t="s">
        <v>346</v>
      </c>
      <c r="D113" s="129" t="s">
        <v>237</v>
      </c>
      <c r="E113" s="128"/>
      <c r="F113" s="128"/>
      <c r="G113" s="128"/>
      <c r="H113" s="117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49.5" customHeight="1">
      <c r="A114" s="127" t="s">
        <v>347</v>
      </c>
      <c r="B114" s="128" t="s">
        <v>239</v>
      </c>
      <c r="C114" s="129" t="s">
        <v>348</v>
      </c>
      <c r="D114" s="129" t="s">
        <v>241</v>
      </c>
      <c r="E114" s="128"/>
      <c r="F114" s="128"/>
      <c r="G114" s="128"/>
      <c r="H114" s="117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66.0" customHeight="1">
      <c r="A115" s="127" t="s">
        <v>349</v>
      </c>
      <c r="B115" s="128" t="s">
        <v>243</v>
      </c>
      <c r="C115" s="129" t="s">
        <v>350</v>
      </c>
      <c r="D115" s="129" t="s">
        <v>245</v>
      </c>
      <c r="E115" s="128"/>
      <c r="F115" s="128"/>
      <c r="G115" s="128"/>
      <c r="H115" s="117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66.0" customHeight="1">
      <c r="A116" s="127" t="s">
        <v>351</v>
      </c>
      <c r="B116" s="129" t="s">
        <v>247</v>
      </c>
      <c r="C116" s="129" t="s">
        <v>352</v>
      </c>
      <c r="D116" s="129" t="s">
        <v>249</v>
      </c>
      <c r="E116" s="128"/>
      <c r="F116" s="128"/>
      <c r="G116" s="128"/>
      <c r="H116" s="117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66.0" customHeight="1">
      <c r="A117" s="127" t="s">
        <v>353</v>
      </c>
      <c r="B117" s="129" t="s">
        <v>251</v>
      </c>
      <c r="C117" s="129" t="s">
        <v>354</v>
      </c>
      <c r="D117" s="129" t="s">
        <v>253</v>
      </c>
      <c r="E117" s="128"/>
      <c r="F117" s="128"/>
      <c r="G117" s="128"/>
      <c r="H117" s="117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66.0" customHeight="1">
      <c r="A118" s="127" t="s">
        <v>355</v>
      </c>
      <c r="B118" s="128" t="s">
        <v>255</v>
      </c>
      <c r="C118" s="129" t="s">
        <v>356</v>
      </c>
      <c r="D118" s="129" t="s">
        <v>257</v>
      </c>
      <c r="E118" s="128"/>
      <c r="F118" s="128"/>
      <c r="G118" s="128"/>
      <c r="H118" s="117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49.5" customHeight="1">
      <c r="A119" s="127" t="s">
        <v>357</v>
      </c>
      <c r="B119" s="128" t="s">
        <v>259</v>
      </c>
      <c r="C119" s="129" t="s">
        <v>358</v>
      </c>
      <c r="D119" s="129" t="s">
        <v>261</v>
      </c>
      <c r="E119" s="128"/>
      <c r="F119" s="128"/>
      <c r="G119" s="128"/>
      <c r="H119" s="117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66.0" customHeight="1">
      <c r="A120" s="127" t="s">
        <v>359</v>
      </c>
      <c r="B120" s="128" t="s">
        <v>263</v>
      </c>
      <c r="C120" s="129" t="s">
        <v>360</v>
      </c>
      <c r="D120" s="129" t="s">
        <v>265</v>
      </c>
      <c r="E120" s="128"/>
      <c r="F120" s="128"/>
      <c r="G120" s="128"/>
      <c r="H120" s="117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66.0" customHeight="1">
      <c r="A121" s="127" t="s">
        <v>361</v>
      </c>
      <c r="B121" s="128" t="s">
        <v>362</v>
      </c>
      <c r="C121" s="129" t="s">
        <v>363</v>
      </c>
      <c r="D121" s="129" t="s">
        <v>364</v>
      </c>
      <c r="E121" s="128"/>
      <c r="F121" s="128"/>
      <c r="G121" s="128"/>
      <c r="H121" s="117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49.5" customHeight="1">
      <c r="A122" s="127" t="s">
        <v>365</v>
      </c>
      <c r="B122" s="129" t="s">
        <v>366</v>
      </c>
      <c r="C122" s="130" t="s">
        <v>367</v>
      </c>
      <c r="D122" s="129" t="s">
        <v>364</v>
      </c>
      <c r="E122" s="128"/>
      <c r="F122" s="128"/>
      <c r="G122" s="128"/>
      <c r="H122" s="117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66.0" customHeight="1">
      <c r="A123" s="127" t="s">
        <v>368</v>
      </c>
      <c r="B123" s="129" t="s">
        <v>369</v>
      </c>
      <c r="C123" s="130" t="s">
        <v>370</v>
      </c>
      <c r="D123" s="129" t="s">
        <v>364</v>
      </c>
      <c r="E123" s="128"/>
      <c r="F123" s="128"/>
      <c r="G123" s="128"/>
      <c r="H123" s="117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66.0" customHeight="1">
      <c r="A124" s="127" t="s">
        <v>371</v>
      </c>
      <c r="B124" s="128" t="s">
        <v>372</v>
      </c>
      <c r="C124" s="129" t="s">
        <v>373</v>
      </c>
      <c r="D124" s="129" t="s">
        <v>374</v>
      </c>
      <c r="E124" s="128"/>
      <c r="F124" s="128"/>
      <c r="G124" s="128"/>
      <c r="H124" s="117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33.0" customHeight="1">
      <c r="A125" s="127" t="s">
        <v>375</v>
      </c>
      <c r="B125" s="136" t="s">
        <v>376</v>
      </c>
      <c r="C125" s="134" t="s">
        <v>377</v>
      </c>
      <c r="D125" s="129" t="s">
        <v>283</v>
      </c>
      <c r="E125" s="128"/>
      <c r="F125" s="128"/>
      <c r="G125" s="128"/>
      <c r="H125" s="117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6.5" customHeight="1">
      <c r="A126" s="108"/>
      <c r="B126" s="108" t="s">
        <v>378</v>
      </c>
      <c r="C126" s="109"/>
      <c r="D126" s="132"/>
      <c r="E126" s="108"/>
      <c r="F126" s="109"/>
      <c r="G126" s="109"/>
      <c r="H126" s="109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6.5" customHeight="1">
      <c r="A127" s="108"/>
      <c r="B127" s="108" t="s">
        <v>379</v>
      </c>
      <c r="C127" s="109"/>
      <c r="D127" s="132"/>
      <c r="E127" s="108"/>
      <c r="F127" s="109"/>
      <c r="G127" s="109"/>
      <c r="H127" s="109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6.5" customHeight="1">
      <c r="A128" s="127" t="s">
        <v>380</v>
      </c>
      <c r="B128" s="128" t="s">
        <v>156</v>
      </c>
      <c r="C128" s="128"/>
      <c r="D128" s="129" t="s">
        <v>73</v>
      </c>
      <c r="E128" s="128"/>
      <c r="F128" s="128"/>
      <c r="G128" s="128"/>
      <c r="H128" s="117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6.5" customHeight="1">
      <c r="A129" s="127" t="s">
        <v>381</v>
      </c>
      <c r="B129" s="128" t="s">
        <v>382</v>
      </c>
      <c r="C129" s="128"/>
      <c r="D129" s="129" t="s">
        <v>73</v>
      </c>
      <c r="E129" s="128"/>
      <c r="F129" s="128"/>
      <c r="G129" s="128"/>
      <c r="H129" s="117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6.5" customHeight="1">
      <c r="A130" s="108"/>
      <c r="B130" s="108" t="s">
        <v>383</v>
      </c>
      <c r="C130" s="109"/>
      <c r="D130" s="132"/>
      <c r="E130" s="108"/>
      <c r="F130" s="109"/>
      <c r="G130" s="109"/>
      <c r="H130" s="109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33.0" customHeight="1">
      <c r="A131" s="136" t="s">
        <v>384</v>
      </c>
      <c r="B131" s="134" t="s">
        <v>385</v>
      </c>
      <c r="C131" s="134" t="s">
        <v>386</v>
      </c>
      <c r="D131" s="135" t="s">
        <v>387</v>
      </c>
      <c r="E131" s="133"/>
      <c r="F131" s="133"/>
      <c r="G131" s="133"/>
      <c r="H131" s="117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33.0" customHeight="1">
      <c r="A132" s="136" t="s">
        <v>388</v>
      </c>
      <c r="B132" s="136" t="s">
        <v>389</v>
      </c>
      <c r="C132" s="134" t="s">
        <v>390</v>
      </c>
      <c r="D132" s="129" t="s">
        <v>391</v>
      </c>
      <c r="E132" s="128"/>
      <c r="F132" s="128"/>
      <c r="G132" s="128"/>
      <c r="H132" s="117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49.5" customHeight="1">
      <c r="A133" s="127" t="s">
        <v>392</v>
      </c>
      <c r="B133" s="128" t="s">
        <v>393</v>
      </c>
      <c r="C133" s="129" t="s">
        <v>394</v>
      </c>
      <c r="D133" s="129" t="s">
        <v>395</v>
      </c>
      <c r="E133" s="128"/>
      <c r="F133" s="128"/>
      <c r="G133" s="128"/>
      <c r="H133" s="117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33.0" customHeight="1">
      <c r="A134" s="140" t="s">
        <v>396</v>
      </c>
      <c r="B134" s="128" t="s">
        <v>397</v>
      </c>
      <c r="C134" s="129" t="s">
        <v>398</v>
      </c>
      <c r="D134" s="129" t="s">
        <v>283</v>
      </c>
      <c r="E134" s="140"/>
      <c r="F134" s="140"/>
      <c r="G134" s="140"/>
      <c r="H134" s="117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6.5" customHeight="1">
      <c r="A135" s="83"/>
      <c r="B135" s="83"/>
      <c r="C135" s="83"/>
      <c r="D135" s="141"/>
      <c r="E135" s="83"/>
      <c r="F135" s="83"/>
      <c r="G135" s="83"/>
      <c r="H135" s="142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ht="16.5" customHeight="1">
      <c r="A136" s="83"/>
      <c r="B136" s="83"/>
      <c r="C136" s="83"/>
      <c r="D136" s="141"/>
      <c r="E136" s="83"/>
      <c r="F136" s="83"/>
      <c r="G136" s="83"/>
      <c r="H136" s="142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ht="16.5" customHeight="1">
      <c r="A137" s="83"/>
      <c r="B137" s="83"/>
      <c r="C137" s="83"/>
      <c r="D137" s="141"/>
      <c r="E137" s="83"/>
      <c r="F137" s="83"/>
      <c r="G137" s="83"/>
      <c r="H137" s="142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ht="16.5" customHeight="1">
      <c r="A138" s="83"/>
      <c r="B138" s="83"/>
      <c r="C138" s="83"/>
      <c r="D138" s="141"/>
      <c r="E138" s="83"/>
      <c r="F138" s="83"/>
      <c r="G138" s="83"/>
      <c r="H138" s="142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ht="16.5" customHeight="1">
      <c r="A139" s="83"/>
      <c r="B139" s="83"/>
      <c r="C139" s="83"/>
      <c r="D139" s="141"/>
      <c r="E139" s="83"/>
      <c r="F139" s="83"/>
      <c r="G139" s="83"/>
      <c r="H139" s="142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ht="16.5" customHeight="1">
      <c r="A140" s="83"/>
      <c r="B140" s="83"/>
      <c r="C140" s="83"/>
      <c r="D140" s="141"/>
      <c r="E140" s="83"/>
      <c r="F140" s="83"/>
      <c r="G140" s="83"/>
      <c r="H140" s="142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ht="16.5" customHeight="1">
      <c r="A141" s="83"/>
      <c r="B141" s="83"/>
      <c r="C141" s="83"/>
      <c r="D141" s="141"/>
      <c r="E141" s="83"/>
      <c r="F141" s="83"/>
      <c r="G141" s="83"/>
      <c r="H141" s="142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ht="33.0" customHeight="1">
      <c r="A142" s="83"/>
      <c r="B142" s="83"/>
      <c r="C142" s="83"/>
      <c r="D142" s="141"/>
      <c r="E142" s="83"/>
      <c r="F142" s="83"/>
      <c r="G142" s="83"/>
      <c r="H142" s="142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ht="33.0" customHeight="1">
      <c r="A143" s="83"/>
      <c r="B143" s="83"/>
      <c r="C143" s="83"/>
      <c r="D143" s="141"/>
      <c r="E143" s="83"/>
      <c r="F143" s="83"/>
      <c r="G143" s="83"/>
      <c r="H143" s="142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ht="16.5" customHeight="1">
      <c r="A144" s="83"/>
      <c r="B144" s="83"/>
      <c r="C144" s="83"/>
      <c r="D144" s="141"/>
      <c r="E144" s="83"/>
      <c r="F144" s="83"/>
      <c r="G144" s="83"/>
      <c r="H144" s="142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ht="16.5" customHeight="1">
      <c r="A145" s="83"/>
      <c r="B145" s="83"/>
      <c r="C145" s="83"/>
      <c r="D145" s="141"/>
      <c r="E145" s="83"/>
      <c r="F145" s="83"/>
      <c r="G145" s="83"/>
      <c r="H145" s="142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ht="16.5" customHeight="1">
      <c r="A146" s="83"/>
      <c r="B146" s="83"/>
      <c r="C146" s="83"/>
      <c r="D146" s="141"/>
      <c r="E146" s="83"/>
      <c r="F146" s="83"/>
      <c r="G146" s="83"/>
      <c r="H146" s="142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ht="16.5" customHeight="1">
      <c r="A147" s="83"/>
      <c r="B147" s="83"/>
      <c r="C147" s="83"/>
      <c r="D147" s="141"/>
      <c r="E147" s="83"/>
      <c r="F147" s="83"/>
      <c r="G147" s="83"/>
      <c r="H147" s="142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ht="16.5" customHeight="1">
      <c r="A148" s="83"/>
      <c r="B148" s="83"/>
      <c r="C148" s="83"/>
      <c r="D148" s="141"/>
      <c r="E148" s="83"/>
      <c r="F148" s="83"/>
      <c r="G148" s="83"/>
      <c r="H148" s="142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ht="16.5" customHeight="1">
      <c r="A149" s="83"/>
      <c r="B149" s="83"/>
      <c r="C149" s="83"/>
      <c r="D149" s="141"/>
      <c r="E149" s="83"/>
      <c r="F149" s="83"/>
      <c r="G149" s="83"/>
      <c r="H149" s="142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ht="16.5" customHeight="1">
      <c r="A150" s="83"/>
      <c r="B150" s="83"/>
      <c r="C150" s="83"/>
      <c r="D150" s="141"/>
      <c r="E150" s="83"/>
      <c r="F150" s="83"/>
      <c r="G150" s="83"/>
      <c r="H150" s="142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ht="16.5" customHeight="1">
      <c r="A151" s="83"/>
      <c r="B151" s="83"/>
      <c r="C151" s="83"/>
      <c r="D151" s="141"/>
      <c r="E151" s="83"/>
      <c r="F151" s="83"/>
      <c r="G151" s="83"/>
      <c r="H151" s="142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ht="16.5" customHeight="1">
      <c r="A152" s="83"/>
      <c r="B152" s="83"/>
      <c r="C152" s="83"/>
      <c r="D152" s="141"/>
      <c r="E152" s="83"/>
      <c r="F152" s="83"/>
      <c r="G152" s="83"/>
      <c r="H152" s="142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ht="16.5" customHeight="1">
      <c r="A153" s="83"/>
      <c r="B153" s="83"/>
      <c r="C153" s="83"/>
      <c r="D153" s="141"/>
      <c r="E153" s="83"/>
      <c r="F153" s="83"/>
      <c r="G153" s="83"/>
      <c r="H153" s="142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ht="16.5" customHeight="1">
      <c r="A154" s="83"/>
      <c r="B154" s="83"/>
      <c r="C154" s="83"/>
      <c r="D154" s="141"/>
      <c r="E154" s="83"/>
      <c r="F154" s="83"/>
      <c r="G154" s="83"/>
      <c r="H154" s="142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ht="16.5" customHeight="1">
      <c r="A155" s="83"/>
      <c r="B155" s="83"/>
      <c r="C155" s="83"/>
      <c r="D155" s="141"/>
      <c r="E155" s="83"/>
      <c r="F155" s="83"/>
      <c r="G155" s="83"/>
      <c r="H155" s="142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ht="16.5" customHeight="1">
      <c r="A156" s="83"/>
      <c r="B156" s="83"/>
      <c r="C156" s="83"/>
      <c r="D156" s="141"/>
      <c r="E156" s="83"/>
      <c r="F156" s="83"/>
      <c r="G156" s="83"/>
      <c r="H156" s="142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ht="16.5" customHeight="1">
      <c r="A157" s="83"/>
      <c r="B157" s="83"/>
      <c r="C157" s="83"/>
      <c r="D157" s="141"/>
      <c r="E157" s="83"/>
      <c r="F157" s="83"/>
      <c r="G157" s="83"/>
      <c r="H157" s="142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ht="16.5" customHeight="1">
      <c r="A158" s="83"/>
      <c r="B158" s="83"/>
      <c r="C158" s="83"/>
      <c r="D158" s="141"/>
      <c r="E158" s="83"/>
      <c r="F158" s="83"/>
      <c r="G158" s="83"/>
      <c r="H158" s="142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ht="16.5" customHeight="1">
      <c r="A159" s="83"/>
      <c r="B159" s="83"/>
      <c r="C159" s="83"/>
      <c r="D159" s="141"/>
      <c r="E159" s="83"/>
      <c r="F159" s="83"/>
      <c r="G159" s="83"/>
      <c r="H159" s="142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ht="16.5" customHeight="1">
      <c r="A160" s="83"/>
      <c r="B160" s="83"/>
      <c r="C160" s="83"/>
      <c r="D160" s="141"/>
      <c r="E160" s="83"/>
      <c r="F160" s="83"/>
      <c r="G160" s="83"/>
      <c r="H160" s="142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ht="16.5" customHeight="1">
      <c r="A161" s="83"/>
      <c r="B161" s="83"/>
      <c r="C161" s="83"/>
      <c r="D161" s="141"/>
      <c r="E161" s="83"/>
      <c r="F161" s="83"/>
      <c r="G161" s="83"/>
      <c r="H161" s="142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ht="16.5" customHeight="1">
      <c r="A162" s="83"/>
      <c r="B162" s="83"/>
      <c r="C162" s="83"/>
      <c r="D162" s="141"/>
      <c r="E162" s="83"/>
      <c r="F162" s="83"/>
      <c r="G162" s="83"/>
      <c r="H162" s="142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ht="16.5" customHeight="1">
      <c r="A163" s="83"/>
      <c r="B163" s="83"/>
      <c r="C163" s="83"/>
      <c r="D163" s="141"/>
      <c r="E163" s="83"/>
      <c r="F163" s="83"/>
      <c r="G163" s="83"/>
      <c r="H163" s="142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ht="16.5" customHeight="1">
      <c r="A164" s="114"/>
      <c r="B164" s="143"/>
      <c r="C164" s="11"/>
      <c r="D164" s="59"/>
      <c r="E164" s="11"/>
      <c r="F164" s="11"/>
      <c r="G164" s="11"/>
      <c r="H164" s="142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ht="16.5" customHeight="1">
      <c r="A165" s="144"/>
      <c r="B165" s="144"/>
      <c r="C165" s="144"/>
      <c r="D165" s="144"/>
      <c r="E165" s="144"/>
      <c r="F165" s="144"/>
      <c r="G165" s="144"/>
      <c r="H165" s="142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ht="16.5" customHeight="1">
      <c r="A166" s="144"/>
      <c r="B166" s="144"/>
      <c r="C166" s="144"/>
      <c r="D166" s="144"/>
      <c r="E166" s="144"/>
      <c r="F166" s="144"/>
      <c r="G166" s="144"/>
      <c r="H166" s="142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ht="16.5" customHeight="1">
      <c r="A167" s="11"/>
      <c r="B167" s="11"/>
      <c r="C167" s="11"/>
      <c r="D167" s="59"/>
      <c r="E167" s="11"/>
      <c r="F167" s="11"/>
      <c r="G167" s="11"/>
      <c r="H167" s="142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ht="16.5" customHeight="1">
      <c r="A168" s="11"/>
      <c r="B168" s="11"/>
      <c r="C168" s="11"/>
      <c r="D168" s="59"/>
      <c r="E168" s="11"/>
      <c r="F168" s="11"/>
      <c r="G168" s="11"/>
      <c r="H168" s="142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ht="16.5" customHeight="1">
      <c r="A169" s="11"/>
      <c r="B169" s="11"/>
      <c r="C169" s="11"/>
      <c r="D169" s="59"/>
      <c r="E169" s="11"/>
      <c r="F169" s="11"/>
      <c r="G169" s="11"/>
      <c r="H169" s="142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ht="16.5" customHeight="1">
      <c r="A170" s="11"/>
      <c r="B170" s="11"/>
      <c r="C170" s="11"/>
      <c r="D170" s="59"/>
      <c r="E170" s="11"/>
      <c r="F170" s="11"/>
      <c r="G170" s="11"/>
      <c r="H170" s="142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ht="16.5" customHeight="1">
      <c r="A171" s="11"/>
      <c r="B171" s="11"/>
      <c r="C171" s="11"/>
      <c r="D171" s="59"/>
      <c r="E171" s="11"/>
      <c r="F171" s="11"/>
      <c r="G171" s="11"/>
      <c r="H171" s="142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ht="16.5" customHeight="1">
      <c r="A172" s="11"/>
      <c r="B172" s="11"/>
      <c r="C172" s="11"/>
      <c r="D172" s="59"/>
      <c r="E172" s="11"/>
      <c r="F172" s="11"/>
      <c r="G172" s="11"/>
      <c r="H172" s="142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ht="16.5" customHeight="1">
      <c r="A173" s="11"/>
      <c r="B173" s="11"/>
      <c r="C173" s="11"/>
      <c r="D173" s="59"/>
      <c r="E173" s="11"/>
      <c r="F173" s="11"/>
      <c r="G173" s="11"/>
      <c r="H173" s="142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6.5" customHeight="1">
      <c r="A174" s="11"/>
      <c r="B174" s="11"/>
      <c r="C174" s="11"/>
      <c r="D174" s="59"/>
      <c r="E174" s="11"/>
      <c r="F174" s="11"/>
      <c r="G174" s="11"/>
      <c r="H174" s="142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6.5" customHeight="1">
      <c r="A175" s="11"/>
      <c r="B175" s="11"/>
      <c r="C175" s="11"/>
      <c r="D175" s="59"/>
      <c r="E175" s="11"/>
      <c r="F175" s="11"/>
      <c r="G175" s="11"/>
      <c r="H175" s="142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6.5" customHeight="1">
      <c r="A176" s="11"/>
      <c r="B176" s="11"/>
      <c r="C176" s="11"/>
      <c r="D176" s="59"/>
      <c r="E176" s="11"/>
      <c r="F176" s="11"/>
      <c r="G176" s="11"/>
      <c r="H176" s="142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6.5" customHeight="1">
      <c r="A177" s="11"/>
      <c r="B177" s="11"/>
      <c r="C177" s="11"/>
      <c r="D177" s="59"/>
      <c r="E177" s="11"/>
      <c r="F177" s="11"/>
      <c r="G177" s="11"/>
      <c r="H177" s="142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6.5" customHeight="1">
      <c r="A178" s="11"/>
      <c r="B178" s="11"/>
      <c r="C178" s="11"/>
      <c r="D178" s="59"/>
      <c r="E178" s="11"/>
      <c r="F178" s="11"/>
      <c r="G178" s="11"/>
      <c r="H178" s="142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6.5" customHeight="1">
      <c r="A179" s="11"/>
      <c r="B179" s="11"/>
      <c r="C179" s="11"/>
      <c r="D179" s="59"/>
      <c r="E179" s="11"/>
      <c r="F179" s="11"/>
      <c r="G179" s="11"/>
      <c r="H179" s="142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6.5" customHeight="1">
      <c r="A180" s="11"/>
      <c r="B180" s="11"/>
      <c r="C180" s="11"/>
      <c r="D180" s="59"/>
      <c r="E180" s="11"/>
      <c r="F180" s="11"/>
      <c r="G180" s="11"/>
      <c r="H180" s="142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6.5" customHeight="1">
      <c r="A181" s="11"/>
      <c r="B181" s="11"/>
      <c r="C181" s="11"/>
      <c r="D181" s="59"/>
      <c r="E181" s="11"/>
      <c r="F181" s="11"/>
      <c r="G181" s="11"/>
      <c r="H181" s="142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6.5" customHeight="1">
      <c r="A182" s="11"/>
      <c r="B182" s="11"/>
      <c r="C182" s="11"/>
      <c r="D182" s="59"/>
      <c r="E182" s="11"/>
      <c r="F182" s="11"/>
      <c r="G182" s="11"/>
      <c r="H182" s="142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6.5" customHeight="1">
      <c r="A183" s="11"/>
      <c r="B183" s="11"/>
      <c r="C183" s="11"/>
      <c r="D183" s="59"/>
      <c r="E183" s="11"/>
      <c r="F183" s="11"/>
      <c r="G183" s="11"/>
      <c r="H183" s="142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6.5" customHeight="1">
      <c r="A184" s="11"/>
      <c r="B184" s="11"/>
      <c r="C184" s="11"/>
      <c r="D184" s="59"/>
      <c r="E184" s="11"/>
      <c r="F184" s="11"/>
      <c r="G184" s="11"/>
      <c r="H184" s="142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6.5" customHeight="1">
      <c r="A185" s="11"/>
      <c r="B185" s="11"/>
      <c r="C185" s="11"/>
      <c r="D185" s="59"/>
      <c r="E185" s="11"/>
      <c r="F185" s="11"/>
      <c r="G185" s="11"/>
      <c r="H185" s="142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6.5" customHeight="1">
      <c r="A186" s="11"/>
      <c r="B186" s="11"/>
      <c r="C186" s="11"/>
      <c r="D186" s="59"/>
      <c r="E186" s="11"/>
      <c r="F186" s="11"/>
      <c r="G186" s="11"/>
      <c r="H186" s="142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6.5" customHeight="1">
      <c r="A187" s="11"/>
      <c r="B187" s="11"/>
      <c r="C187" s="11"/>
      <c r="D187" s="59"/>
      <c r="E187" s="11"/>
      <c r="F187" s="11"/>
      <c r="G187" s="11"/>
      <c r="H187" s="142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6.5" customHeight="1">
      <c r="A188" s="11"/>
      <c r="B188" s="11"/>
      <c r="C188" s="11"/>
      <c r="D188" s="59"/>
      <c r="E188" s="11"/>
      <c r="F188" s="11"/>
      <c r="G188" s="11"/>
      <c r="H188" s="142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6.5" customHeight="1">
      <c r="A189" s="11"/>
      <c r="B189" s="11"/>
      <c r="C189" s="11"/>
      <c r="D189" s="59"/>
      <c r="E189" s="11"/>
      <c r="F189" s="11"/>
      <c r="G189" s="11"/>
      <c r="H189" s="142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6.5" customHeight="1">
      <c r="A190" s="11"/>
      <c r="B190" s="11"/>
      <c r="C190" s="11"/>
      <c r="D190" s="59"/>
      <c r="E190" s="11"/>
      <c r="F190" s="11"/>
      <c r="G190" s="11"/>
      <c r="H190" s="142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6.5" customHeight="1">
      <c r="A191" s="11"/>
      <c r="B191" s="11"/>
      <c r="C191" s="11"/>
      <c r="D191" s="59"/>
      <c r="E191" s="11"/>
      <c r="F191" s="11"/>
      <c r="G191" s="11"/>
      <c r="H191" s="142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6.5" customHeight="1">
      <c r="A192" s="11"/>
      <c r="B192" s="11"/>
      <c r="C192" s="11"/>
      <c r="D192" s="59"/>
      <c r="E192" s="11"/>
      <c r="F192" s="11"/>
      <c r="G192" s="11"/>
      <c r="H192" s="142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6.5" customHeight="1">
      <c r="A193" s="11"/>
      <c r="B193" s="11"/>
      <c r="C193" s="11"/>
      <c r="D193" s="59"/>
      <c r="E193" s="11"/>
      <c r="F193" s="11"/>
      <c r="G193" s="11"/>
      <c r="H193" s="142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6.5" customHeight="1">
      <c r="A194" s="11"/>
      <c r="B194" s="11"/>
      <c r="C194" s="11"/>
      <c r="D194" s="59"/>
      <c r="E194" s="11"/>
      <c r="F194" s="11"/>
      <c r="G194" s="11"/>
      <c r="H194" s="142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6.5" customHeight="1">
      <c r="A195" s="11"/>
      <c r="B195" s="11"/>
      <c r="C195" s="11"/>
      <c r="D195" s="59"/>
      <c r="E195" s="11"/>
      <c r="F195" s="11"/>
      <c r="G195" s="11"/>
      <c r="H195" s="142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6.5" customHeight="1">
      <c r="A196" s="11"/>
      <c r="B196" s="11"/>
      <c r="C196" s="11"/>
      <c r="D196" s="59"/>
      <c r="E196" s="11"/>
      <c r="F196" s="11"/>
      <c r="G196" s="11"/>
      <c r="H196" s="142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6.5" customHeight="1">
      <c r="A197" s="11"/>
      <c r="B197" s="11"/>
      <c r="C197" s="11"/>
      <c r="D197" s="59"/>
      <c r="E197" s="11"/>
      <c r="F197" s="11"/>
      <c r="G197" s="11"/>
      <c r="H197" s="142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6.5" customHeight="1">
      <c r="A198" s="11"/>
      <c r="B198" s="11"/>
      <c r="C198" s="11"/>
      <c r="D198" s="59"/>
      <c r="E198" s="11"/>
      <c r="F198" s="11"/>
      <c r="G198" s="11"/>
      <c r="H198" s="142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6.5" customHeight="1">
      <c r="A199" s="11"/>
      <c r="B199" s="11"/>
      <c r="C199" s="11"/>
      <c r="D199" s="59"/>
      <c r="E199" s="11"/>
      <c r="F199" s="11"/>
      <c r="G199" s="11"/>
      <c r="H199" s="142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6.5" customHeight="1">
      <c r="A200" s="11"/>
      <c r="B200" s="11"/>
      <c r="C200" s="11"/>
      <c r="D200" s="59"/>
      <c r="E200" s="11"/>
      <c r="F200" s="11"/>
      <c r="G200" s="11"/>
      <c r="H200" s="142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6.5" customHeight="1">
      <c r="A201" s="11"/>
      <c r="B201" s="11"/>
      <c r="C201" s="11"/>
      <c r="D201" s="59"/>
      <c r="E201" s="11"/>
      <c r="F201" s="11"/>
      <c r="G201" s="11"/>
      <c r="H201" s="142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6.5" customHeight="1">
      <c r="A202" s="11"/>
      <c r="B202" s="11"/>
      <c r="C202" s="11"/>
      <c r="D202" s="59"/>
      <c r="E202" s="11"/>
      <c r="F202" s="11"/>
      <c r="G202" s="11"/>
      <c r="H202" s="142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6.5" customHeight="1">
      <c r="A203" s="11"/>
      <c r="B203" s="11"/>
      <c r="C203" s="11"/>
      <c r="D203" s="59"/>
      <c r="E203" s="11"/>
      <c r="F203" s="11"/>
      <c r="G203" s="11"/>
      <c r="H203" s="142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6.5" customHeight="1">
      <c r="A204" s="11"/>
      <c r="B204" s="11"/>
      <c r="C204" s="11"/>
      <c r="D204" s="59"/>
      <c r="E204" s="11"/>
      <c r="F204" s="11"/>
      <c r="G204" s="11"/>
      <c r="H204" s="142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6.5" customHeight="1">
      <c r="A205" s="11"/>
      <c r="B205" s="11"/>
      <c r="C205" s="11"/>
      <c r="D205" s="59"/>
      <c r="E205" s="11"/>
      <c r="F205" s="11"/>
      <c r="G205" s="11"/>
      <c r="H205" s="142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6.5" customHeight="1">
      <c r="A206" s="11"/>
      <c r="B206" s="11"/>
      <c r="C206" s="11"/>
      <c r="D206" s="59"/>
      <c r="E206" s="11"/>
      <c r="F206" s="11"/>
      <c r="G206" s="11"/>
      <c r="H206" s="142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6.5" customHeight="1">
      <c r="A207" s="11"/>
      <c r="B207" s="11"/>
      <c r="C207" s="11"/>
      <c r="D207" s="59"/>
      <c r="E207" s="11"/>
      <c r="F207" s="11"/>
      <c r="G207" s="11"/>
      <c r="H207" s="142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6.5" customHeight="1">
      <c r="A208" s="11"/>
      <c r="B208" s="11"/>
      <c r="C208" s="11"/>
      <c r="D208" s="59"/>
      <c r="E208" s="11"/>
      <c r="F208" s="11"/>
      <c r="G208" s="11"/>
      <c r="H208" s="142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6.5" customHeight="1">
      <c r="A209" s="11"/>
      <c r="B209" s="11"/>
      <c r="C209" s="11"/>
      <c r="D209" s="59"/>
      <c r="E209" s="11"/>
      <c r="F209" s="11"/>
      <c r="G209" s="11"/>
      <c r="H209" s="142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6.5" customHeight="1">
      <c r="A210" s="11"/>
      <c r="B210" s="11"/>
      <c r="C210" s="11"/>
      <c r="D210" s="59"/>
      <c r="E210" s="11"/>
      <c r="F210" s="11"/>
      <c r="G210" s="11"/>
      <c r="H210" s="142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6.5" customHeight="1">
      <c r="A211" s="11"/>
      <c r="B211" s="11"/>
      <c r="C211" s="11"/>
      <c r="D211" s="59"/>
      <c r="E211" s="11"/>
      <c r="F211" s="11"/>
      <c r="G211" s="11"/>
      <c r="H211" s="142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6.5" customHeight="1">
      <c r="A212" s="11"/>
      <c r="B212" s="11"/>
      <c r="C212" s="11"/>
      <c r="D212" s="59"/>
      <c r="E212" s="11"/>
      <c r="F212" s="11"/>
      <c r="G212" s="11"/>
      <c r="H212" s="142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6.5" customHeight="1">
      <c r="A213" s="11"/>
      <c r="B213" s="11"/>
      <c r="C213" s="11"/>
      <c r="D213" s="59"/>
      <c r="E213" s="11"/>
      <c r="F213" s="11"/>
      <c r="G213" s="11"/>
      <c r="H213" s="142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6.5" customHeight="1">
      <c r="A214" s="11"/>
      <c r="B214" s="11"/>
      <c r="C214" s="11"/>
      <c r="D214" s="59"/>
      <c r="E214" s="11"/>
      <c r="F214" s="11"/>
      <c r="G214" s="11"/>
      <c r="H214" s="142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6.5" customHeight="1">
      <c r="A215" s="11"/>
      <c r="B215" s="11"/>
      <c r="C215" s="11"/>
      <c r="D215" s="59"/>
      <c r="E215" s="11"/>
      <c r="F215" s="11"/>
      <c r="G215" s="11"/>
      <c r="H215" s="142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6.5" customHeight="1">
      <c r="A216" s="11"/>
      <c r="B216" s="11"/>
      <c r="C216" s="11"/>
      <c r="D216" s="59"/>
      <c r="E216" s="11"/>
      <c r="F216" s="11"/>
      <c r="G216" s="11"/>
      <c r="H216" s="142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6.5" customHeight="1">
      <c r="A217" s="11"/>
      <c r="B217" s="11"/>
      <c r="C217" s="11"/>
      <c r="D217" s="59"/>
      <c r="E217" s="11"/>
      <c r="F217" s="11"/>
      <c r="G217" s="11"/>
      <c r="H217" s="142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6.5" customHeight="1">
      <c r="A218" s="11"/>
      <c r="B218" s="11"/>
      <c r="C218" s="11"/>
      <c r="D218" s="59"/>
      <c r="E218" s="11"/>
      <c r="F218" s="11"/>
      <c r="G218" s="11"/>
      <c r="H218" s="142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6.5" customHeight="1">
      <c r="A219" s="11"/>
      <c r="B219" s="11"/>
      <c r="C219" s="11"/>
      <c r="D219" s="59"/>
      <c r="E219" s="11"/>
      <c r="F219" s="11"/>
      <c r="G219" s="11"/>
      <c r="H219" s="142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6.5" customHeight="1">
      <c r="A220" s="11"/>
      <c r="B220" s="11"/>
      <c r="C220" s="11"/>
      <c r="D220" s="59"/>
      <c r="E220" s="11"/>
      <c r="F220" s="11"/>
      <c r="G220" s="11"/>
      <c r="H220" s="142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6.5" customHeight="1">
      <c r="A221" s="11"/>
      <c r="B221" s="11"/>
      <c r="C221" s="11"/>
      <c r="D221" s="59"/>
      <c r="E221" s="11"/>
      <c r="F221" s="11"/>
      <c r="G221" s="11"/>
      <c r="H221" s="142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6.5" customHeight="1">
      <c r="A222" s="11"/>
      <c r="B222" s="11"/>
      <c r="C222" s="11"/>
      <c r="D222" s="59"/>
      <c r="E222" s="11"/>
      <c r="F222" s="11"/>
      <c r="G222" s="11"/>
      <c r="H222" s="142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6.5" customHeight="1">
      <c r="A223" s="11"/>
      <c r="B223" s="11"/>
      <c r="C223" s="11"/>
      <c r="D223" s="59"/>
      <c r="E223" s="11"/>
      <c r="F223" s="11"/>
      <c r="G223" s="11"/>
      <c r="H223" s="142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6.5" customHeight="1">
      <c r="A224" s="11"/>
      <c r="B224" s="11"/>
      <c r="C224" s="11"/>
      <c r="D224" s="59"/>
      <c r="E224" s="11"/>
      <c r="F224" s="11"/>
      <c r="G224" s="11"/>
      <c r="H224" s="142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6.5" customHeight="1">
      <c r="A225" s="11"/>
      <c r="B225" s="11"/>
      <c r="C225" s="11"/>
      <c r="D225" s="59"/>
      <c r="E225" s="11"/>
      <c r="F225" s="11"/>
      <c r="G225" s="11"/>
      <c r="H225" s="142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6.5" customHeight="1">
      <c r="A226" s="11"/>
      <c r="B226" s="11"/>
      <c r="C226" s="11"/>
      <c r="D226" s="59"/>
      <c r="E226" s="11"/>
      <c r="F226" s="11"/>
      <c r="G226" s="11"/>
      <c r="H226" s="142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6.5" customHeight="1">
      <c r="A227" s="11"/>
      <c r="B227" s="11"/>
      <c r="C227" s="11"/>
      <c r="D227" s="59"/>
      <c r="E227" s="11"/>
      <c r="F227" s="11"/>
      <c r="G227" s="11"/>
      <c r="H227" s="142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6.5" customHeight="1">
      <c r="A228" s="11"/>
      <c r="B228" s="11"/>
      <c r="C228" s="11"/>
      <c r="D228" s="59"/>
      <c r="E228" s="11"/>
      <c r="F228" s="11"/>
      <c r="G228" s="11"/>
      <c r="H228" s="142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6.5" customHeight="1">
      <c r="A229" s="11"/>
      <c r="B229" s="11"/>
      <c r="C229" s="11"/>
      <c r="D229" s="59"/>
      <c r="E229" s="11"/>
      <c r="F229" s="11"/>
      <c r="G229" s="11"/>
      <c r="H229" s="142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6.5" customHeight="1">
      <c r="A230" s="11"/>
      <c r="B230" s="11"/>
      <c r="C230" s="11"/>
      <c r="D230" s="59"/>
      <c r="E230" s="11"/>
      <c r="F230" s="11"/>
      <c r="G230" s="11"/>
      <c r="H230" s="142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6.5" customHeight="1">
      <c r="A231" s="11"/>
      <c r="B231" s="11"/>
      <c r="C231" s="11"/>
      <c r="D231" s="59"/>
      <c r="E231" s="11"/>
      <c r="F231" s="11"/>
      <c r="G231" s="11"/>
      <c r="H231" s="142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6.5" customHeight="1">
      <c r="A232" s="11"/>
      <c r="B232" s="11"/>
      <c r="C232" s="11"/>
      <c r="D232" s="59"/>
      <c r="E232" s="11"/>
      <c r="F232" s="11"/>
      <c r="G232" s="11"/>
      <c r="H232" s="142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6.5" customHeight="1">
      <c r="A233" s="11"/>
      <c r="B233" s="11"/>
      <c r="C233" s="11"/>
      <c r="D233" s="59"/>
      <c r="E233" s="11"/>
      <c r="F233" s="11"/>
      <c r="G233" s="11"/>
      <c r="H233" s="142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6.5" customHeight="1">
      <c r="A234" s="11"/>
      <c r="B234" s="11"/>
      <c r="C234" s="11"/>
      <c r="D234" s="59"/>
      <c r="E234" s="11"/>
      <c r="F234" s="11"/>
      <c r="G234" s="11"/>
      <c r="H234" s="142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6.5" customHeight="1">
      <c r="A235" s="11"/>
      <c r="B235" s="11"/>
      <c r="C235" s="11"/>
      <c r="D235" s="59"/>
      <c r="E235" s="11"/>
      <c r="F235" s="11"/>
      <c r="G235" s="11"/>
      <c r="H235" s="142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6.5" customHeight="1">
      <c r="A236" s="11"/>
      <c r="B236" s="11"/>
      <c r="C236" s="11"/>
      <c r="D236" s="59"/>
      <c r="E236" s="11"/>
      <c r="F236" s="11"/>
      <c r="G236" s="11"/>
      <c r="H236" s="142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6.5" customHeight="1">
      <c r="A237" s="11"/>
      <c r="B237" s="11"/>
      <c r="C237" s="11"/>
      <c r="D237" s="59"/>
      <c r="E237" s="11"/>
      <c r="F237" s="11"/>
      <c r="G237" s="11"/>
      <c r="H237" s="142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6.5" customHeight="1">
      <c r="A238" s="11"/>
      <c r="B238" s="11"/>
      <c r="C238" s="11"/>
      <c r="D238" s="59"/>
      <c r="E238" s="11"/>
      <c r="F238" s="11"/>
      <c r="G238" s="11"/>
      <c r="H238" s="142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6.5" customHeight="1">
      <c r="A239" s="11"/>
      <c r="B239" s="11"/>
      <c r="C239" s="11"/>
      <c r="D239" s="59"/>
      <c r="E239" s="11"/>
      <c r="F239" s="11"/>
      <c r="G239" s="11"/>
      <c r="H239" s="142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6.5" customHeight="1">
      <c r="A240" s="11"/>
      <c r="B240" s="11"/>
      <c r="C240" s="11"/>
      <c r="D240" s="59"/>
      <c r="E240" s="11"/>
      <c r="F240" s="11"/>
      <c r="G240" s="11"/>
      <c r="H240" s="142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6.5" customHeight="1">
      <c r="A241" s="11"/>
      <c r="B241" s="11"/>
      <c r="C241" s="11"/>
      <c r="D241" s="59"/>
      <c r="E241" s="11"/>
      <c r="F241" s="11"/>
      <c r="G241" s="11"/>
      <c r="H241" s="142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6.5" customHeight="1">
      <c r="A242" s="11"/>
      <c r="B242" s="11"/>
      <c r="C242" s="11"/>
      <c r="D242" s="59"/>
      <c r="E242" s="11"/>
      <c r="F242" s="11"/>
      <c r="G242" s="11"/>
      <c r="H242" s="142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6.5" customHeight="1">
      <c r="A243" s="11"/>
      <c r="B243" s="11"/>
      <c r="C243" s="11"/>
      <c r="D243" s="59"/>
      <c r="E243" s="11"/>
      <c r="F243" s="11"/>
      <c r="G243" s="11"/>
      <c r="H243" s="142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6.5" customHeight="1">
      <c r="A244" s="11"/>
      <c r="B244" s="11"/>
      <c r="C244" s="11"/>
      <c r="D244" s="59"/>
      <c r="E244" s="11"/>
      <c r="F244" s="11"/>
      <c r="G244" s="11"/>
      <c r="H244" s="142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6.5" customHeight="1">
      <c r="A245" s="11"/>
      <c r="B245" s="11"/>
      <c r="C245" s="11"/>
      <c r="D245" s="59"/>
      <c r="E245" s="11"/>
      <c r="F245" s="11"/>
      <c r="G245" s="11"/>
      <c r="H245" s="142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6.5" customHeight="1">
      <c r="A246" s="11"/>
      <c r="B246" s="11"/>
      <c r="C246" s="11"/>
      <c r="D246" s="59"/>
      <c r="E246" s="11"/>
      <c r="F246" s="11"/>
      <c r="G246" s="11"/>
      <c r="H246" s="142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6.5" customHeight="1">
      <c r="A247" s="11"/>
      <c r="B247" s="11"/>
      <c r="C247" s="11"/>
      <c r="D247" s="59"/>
      <c r="E247" s="11"/>
      <c r="F247" s="11"/>
      <c r="G247" s="11"/>
      <c r="H247" s="142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6.5" customHeight="1">
      <c r="A248" s="11"/>
      <c r="B248" s="11"/>
      <c r="C248" s="11"/>
      <c r="D248" s="59"/>
      <c r="E248" s="11"/>
      <c r="F248" s="11"/>
      <c r="G248" s="11"/>
      <c r="H248" s="142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6.5" customHeight="1">
      <c r="A249" s="11"/>
      <c r="B249" s="11"/>
      <c r="C249" s="11"/>
      <c r="D249" s="59"/>
      <c r="E249" s="11"/>
      <c r="F249" s="11"/>
      <c r="G249" s="11"/>
      <c r="H249" s="142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6.5" customHeight="1">
      <c r="A250" s="11"/>
      <c r="B250" s="11"/>
      <c r="C250" s="11"/>
      <c r="D250" s="59"/>
      <c r="E250" s="11"/>
      <c r="F250" s="11"/>
      <c r="G250" s="11"/>
      <c r="H250" s="142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6.5" customHeight="1">
      <c r="A251" s="11"/>
      <c r="B251" s="11"/>
      <c r="C251" s="11"/>
      <c r="D251" s="59"/>
      <c r="E251" s="11"/>
      <c r="F251" s="11"/>
      <c r="G251" s="11"/>
      <c r="H251" s="142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6.5" customHeight="1">
      <c r="A252" s="11"/>
      <c r="B252" s="11"/>
      <c r="C252" s="11"/>
      <c r="D252" s="59"/>
      <c r="E252" s="11"/>
      <c r="F252" s="11"/>
      <c r="G252" s="11"/>
      <c r="H252" s="142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6.5" customHeight="1">
      <c r="A253" s="11"/>
      <c r="B253" s="11"/>
      <c r="C253" s="11"/>
      <c r="D253" s="59"/>
      <c r="E253" s="11"/>
      <c r="F253" s="11"/>
      <c r="G253" s="11"/>
      <c r="H253" s="142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6.5" customHeight="1">
      <c r="A254" s="11"/>
      <c r="B254" s="11"/>
      <c r="C254" s="11"/>
      <c r="D254" s="59"/>
      <c r="E254" s="11"/>
      <c r="F254" s="11"/>
      <c r="G254" s="11"/>
      <c r="H254" s="142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6.5" customHeight="1">
      <c r="A255" s="11"/>
      <c r="B255" s="11"/>
      <c r="C255" s="11"/>
      <c r="D255" s="59"/>
      <c r="E255" s="11"/>
      <c r="F255" s="11"/>
      <c r="G255" s="11"/>
      <c r="H255" s="142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6.5" customHeight="1">
      <c r="A256" s="11"/>
      <c r="B256" s="11"/>
      <c r="C256" s="11"/>
      <c r="D256" s="59"/>
      <c r="E256" s="11"/>
      <c r="F256" s="11"/>
      <c r="G256" s="11"/>
      <c r="H256" s="142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6.5" customHeight="1">
      <c r="A257" s="11"/>
      <c r="B257" s="11"/>
      <c r="C257" s="11"/>
      <c r="D257" s="59"/>
      <c r="E257" s="11"/>
      <c r="F257" s="11"/>
      <c r="G257" s="11"/>
      <c r="H257" s="142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6.5" customHeight="1">
      <c r="A258" s="11"/>
      <c r="B258" s="11"/>
      <c r="C258" s="11"/>
      <c r="D258" s="59"/>
      <c r="E258" s="11"/>
      <c r="F258" s="11"/>
      <c r="G258" s="11"/>
      <c r="H258" s="142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6.5" customHeight="1">
      <c r="A259" s="11"/>
      <c r="B259" s="11"/>
      <c r="C259" s="11"/>
      <c r="D259" s="59"/>
      <c r="E259" s="11"/>
      <c r="F259" s="11"/>
      <c r="G259" s="11"/>
      <c r="H259" s="142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6.5" customHeight="1">
      <c r="A260" s="11"/>
      <c r="B260" s="11"/>
      <c r="C260" s="11"/>
      <c r="D260" s="59"/>
      <c r="E260" s="11"/>
      <c r="F260" s="11"/>
      <c r="G260" s="11"/>
      <c r="H260" s="142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6.5" customHeight="1">
      <c r="A261" s="11"/>
      <c r="B261" s="11"/>
      <c r="C261" s="11"/>
      <c r="D261" s="59"/>
      <c r="E261" s="11"/>
      <c r="F261" s="11"/>
      <c r="G261" s="11"/>
      <c r="H261" s="142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6.5" customHeight="1">
      <c r="A262" s="11"/>
      <c r="B262" s="11"/>
      <c r="C262" s="11"/>
      <c r="D262" s="59"/>
      <c r="E262" s="11"/>
      <c r="F262" s="11"/>
      <c r="G262" s="11"/>
      <c r="H262" s="142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6.5" customHeight="1">
      <c r="A263" s="11"/>
      <c r="B263" s="11"/>
      <c r="C263" s="11"/>
      <c r="D263" s="59"/>
      <c r="E263" s="11"/>
      <c r="F263" s="11"/>
      <c r="G263" s="11"/>
      <c r="H263" s="142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6.5" customHeight="1">
      <c r="A264" s="11"/>
      <c r="B264" s="11"/>
      <c r="C264" s="11"/>
      <c r="D264" s="59"/>
      <c r="E264" s="11"/>
      <c r="F264" s="11"/>
      <c r="G264" s="11"/>
      <c r="H264" s="142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6.5" customHeight="1">
      <c r="A265" s="11"/>
      <c r="B265" s="11"/>
      <c r="C265" s="11"/>
      <c r="D265" s="59"/>
      <c r="E265" s="11"/>
      <c r="F265" s="11"/>
      <c r="G265" s="11"/>
      <c r="H265" s="142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6.5" customHeight="1">
      <c r="A266" s="11"/>
      <c r="B266" s="11"/>
      <c r="C266" s="11"/>
      <c r="D266" s="59"/>
      <c r="E266" s="11"/>
      <c r="F266" s="11"/>
      <c r="G266" s="11"/>
      <c r="H266" s="142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6.5" customHeight="1">
      <c r="A267" s="11"/>
      <c r="B267" s="11"/>
      <c r="C267" s="11"/>
      <c r="D267" s="59"/>
      <c r="E267" s="11"/>
      <c r="F267" s="11"/>
      <c r="G267" s="11"/>
      <c r="H267" s="142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6.5" customHeight="1">
      <c r="A268" s="11"/>
      <c r="B268" s="11"/>
      <c r="C268" s="11"/>
      <c r="D268" s="59"/>
      <c r="E268" s="11"/>
      <c r="F268" s="11"/>
      <c r="G268" s="11"/>
      <c r="H268" s="142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6.5" customHeight="1">
      <c r="A269" s="11"/>
      <c r="B269" s="11"/>
      <c r="C269" s="11"/>
      <c r="D269" s="59"/>
      <c r="E269" s="11"/>
      <c r="F269" s="11"/>
      <c r="G269" s="11"/>
      <c r="H269" s="142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6.5" customHeight="1">
      <c r="A270" s="11"/>
      <c r="B270" s="11"/>
      <c r="C270" s="11"/>
      <c r="D270" s="59"/>
      <c r="E270" s="11"/>
      <c r="F270" s="11"/>
      <c r="G270" s="11"/>
      <c r="H270" s="142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6.5" customHeight="1">
      <c r="A271" s="11"/>
      <c r="B271" s="11"/>
      <c r="C271" s="11"/>
      <c r="D271" s="59"/>
      <c r="E271" s="11"/>
      <c r="F271" s="11"/>
      <c r="G271" s="11"/>
      <c r="H271" s="142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6.5" customHeight="1">
      <c r="A272" s="11"/>
      <c r="B272" s="11"/>
      <c r="C272" s="11"/>
      <c r="D272" s="59"/>
      <c r="E272" s="11"/>
      <c r="F272" s="11"/>
      <c r="G272" s="11"/>
      <c r="H272" s="142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6.5" customHeight="1">
      <c r="A273" s="11"/>
      <c r="B273" s="11"/>
      <c r="C273" s="11"/>
      <c r="D273" s="59"/>
      <c r="E273" s="11"/>
      <c r="F273" s="11"/>
      <c r="G273" s="11"/>
      <c r="H273" s="142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6.5" customHeight="1">
      <c r="A274" s="11"/>
      <c r="B274" s="11"/>
      <c r="C274" s="11"/>
      <c r="D274" s="59"/>
      <c r="E274" s="11"/>
      <c r="F274" s="11"/>
      <c r="G274" s="11"/>
      <c r="H274" s="142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6.5" customHeight="1">
      <c r="A275" s="11"/>
      <c r="B275" s="11"/>
      <c r="C275" s="11"/>
      <c r="D275" s="59"/>
      <c r="E275" s="11"/>
      <c r="F275" s="11"/>
      <c r="G275" s="11"/>
      <c r="H275" s="142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6.5" customHeight="1">
      <c r="A276" s="11"/>
      <c r="B276" s="11"/>
      <c r="C276" s="11"/>
      <c r="D276" s="59"/>
      <c r="E276" s="11"/>
      <c r="F276" s="11"/>
      <c r="G276" s="11"/>
      <c r="H276" s="142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6.5" customHeight="1">
      <c r="A277" s="11"/>
      <c r="B277" s="11"/>
      <c r="C277" s="11"/>
      <c r="D277" s="59"/>
      <c r="E277" s="11"/>
      <c r="F277" s="11"/>
      <c r="G277" s="11"/>
      <c r="H277" s="142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6.5" customHeight="1">
      <c r="A278" s="11"/>
      <c r="B278" s="11"/>
      <c r="C278" s="11"/>
      <c r="D278" s="59"/>
      <c r="E278" s="11"/>
      <c r="F278" s="11"/>
      <c r="G278" s="11"/>
      <c r="H278" s="142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6.5" customHeight="1">
      <c r="A279" s="11"/>
      <c r="B279" s="11"/>
      <c r="C279" s="11"/>
      <c r="D279" s="59"/>
      <c r="E279" s="11"/>
      <c r="F279" s="11"/>
      <c r="G279" s="11"/>
      <c r="H279" s="142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6.5" customHeight="1">
      <c r="A280" s="11"/>
      <c r="B280" s="11"/>
      <c r="C280" s="11"/>
      <c r="D280" s="59"/>
      <c r="E280" s="11"/>
      <c r="F280" s="11"/>
      <c r="G280" s="11"/>
      <c r="H280" s="142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6.5" customHeight="1">
      <c r="A281" s="11"/>
      <c r="B281" s="11"/>
      <c r="C281" s="11"/>
      <c r="D281" s="59"/>
      <c r="E281" s="11"/>
      <c r="F281" s="11"/>
      <c r="G281" s="11"/>
      <c r="H281" s="142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6.5" customHeight="1">
      <c r="A282" s="11"/>
      <c r="B282" s="11"/>
      <c r="C282" s="11"/>
      <c r="D282" s="59"/>
      <c r="E282" s="11"/>
      <c r="F282" s="11"/>
      <c r="G282" s="11"/>
      <c r="H282" s="142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6.5" customHeight="1">
      <c r="A283" s="11"/>
      <c r="B283" s="11"/>
      <c r="C283" s="11"/>
      <c r="D283" s="59"/>
      <c r="E283" s="11"/>
      <c r="F283" s="11"/>
      <c r="G283" s="11"/>
      <c r="H283" s="142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6.5" customHeight="1">
      <c r="A284" s="11"/>
      <c r="B284" s="11"/>
      <c r="C284" s="11"/>
      <c r="D284" s="59"/>
      <c r="E284" s="11"/>
      <c r="F284" s="11"/>
      <c r="G284" s="11"/>
      <c r="H284" s="142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6.5" customHeight="1">
      <c r="A285" s="11"/>
      <c r="B285" s="11"/>
      <c r="C285" s="11"/>
      <c r="D285" s="59"/>
      <c r="E285" s="11"/>
      <c r="F285" s="11"/>
      <c r="G285" s="11"/>
      <c r="H285" s="142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6.5" customHeight="1">
      <c r="A286" s="11"/>
      <c r="B286" s="11"/>
      <c r="C286" s="11"/>
      <c r="D286" s="59"/>
      <c r="E286" s="11"/>
      <c r="F286" s="11"/>
      <c r="G286" s="11"/>
      <c r="H286" s="142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6.5" customHeight="1">
      <c r="A287" s="11"/>
      <c r="B287" s="11"/>
      <c r="C287" s="11"/>
      <c r="D287" s="59"/>
      <c r="E287" s="11"/>
      <c r="F287" s="11"/>
      <c r="G287" s="11"/>
      <c r="H287" s="142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6.5" customHeight="1">
      <c r="A288" s="11"/>
      <c r="B288" s="11"/>
      <c r="C288" s="11"/>
      <c r="D288" s="59"/>
      <c r="E288" s="11"/>
      <c r="F288" s="11"/>
      <c r="G288" s="11"/>
      <c r="H288" s="142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6.5" customHeight="1">
      <c r="A289" s="11"/>
      <c r="B289" s="11"/>
      <c r="C289" s="11"/>
      <c r="D289" s="59"/>
      <c r="E289" s="11"/>
      <c r="F289" s="11"/>
      <c r="G289" s="11"/>
      <c r="H289" s="142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6.5" customHeight="1">
      <c r="A290" s="11"/>
      <c r="B290" s="11"/>
      <c r="C290" s="11"/>
      <c r="D290" s="59"/>
      <c r="E290" s="11"/>
      <c r="F290" s="11"/>
      <c r="G290" s="11"/>
      <c r="H290" s="142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6.5" customHeight="1">
      <c r="A291" s="11"/>
      <c r="B291" s="11"/>
      <c r="C291" s="11"/>
      <c r="D291" s="59"/>
      <c r="E291" s="11"/>
      <c r="F291" s="11"/>
      <c r="G291" s="11"/>
      <c r="H291" s="142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6.5" customHeight="1">
      <c r="A292" s="11"/>
      <c r="B292" s="11"/>
      <c r="C292" s="11"/>
      <c r="D292" s="59"/>
      <c r="E292" s="11"/>
      <c r="F292" s="11"/>
      <c r="G292" s="11"/>
      <c r="H292" s="142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6.5" customHeight="1">
      <c r="A293" s="11"/>
      <c r="B293" s="11"/>
      <c r="C293" s="11"/>
      <c r="D293" s="59"/>
      <c r="E293" s="11"/>
      <c r="F293" s="11"/>
      <c r="G293" s="11"/>
      <c r="H293" s="142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6.5" customHeight="1">
      <c r="A294" s="11"/>
      <c r="B294" s="11"/>
      <c r="C294" s="11"/>
      <c r="D294" s="59"/>
      <c r="E294" s="11"/>
      <c r="F294" s="11"/>
      <c r="G294" s="11"/>
      <c r="H294" s="142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6.5" customHeight="1">
      <c r="A295" s="11"/>
      <c r="B295" s="11"/>
      <c r="C295" s="11"/>
      <c r="D295" s="59"/>
      <c r="E295" s="11"/>
      <c r="F295" s="11"/>
      <c r="G295" s="11"/>
      <c r="H295" s="142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6.5" customHeight="1">
      <c r="A296" s="11"/>
      <c r="B296" s="11"/>
      <c r="C296" s="11"/>
      <c r="D296" s="59"/>
      <c r="E296" s="11"/>
      <c r="F296" s="11"/>
      <c r="G296" s="11"/>
      <c r="H296" s="142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6.5" customHeight="1">
      <c r="A297" s="11"/>
      <c r="B297" s="11"/>
      <c r="C297" s="11"/>
      <c r="D297" s="59"/>
      <c r="E297" s="11"/>
      <c r="F297" s="11"/>
      <c r="G297" s="11"/>
      <c r="H297" s="142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6.5" customHeight="1">
      <c r="A298" s="11"/>
      <c r="B298" s="11"/>
      <c r="C298" s="11"/>
      <c r="D298" s="59"/>
      <c r="E298" s="11"/>
      <c r="F298" s="11"/>
      <c r="G298" s="11"/>
      <c r="H298" s="142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6.5" customHeight="1">
      <c r="A299" s="11"/>
      <c r="B299" s="11"/>
      <c r="C299" s="11"/>
      <c r="D299" s="59"/>
      <c r="E299" s="11"/>
      <c r="F299" s="11"/>
      <c r="G299" s="11"/>
      <c r="H299" s="142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6.5" customHeight="1">
      <c r="A300" s="11"/>
      <c r="B300" s="11"/>
      <c r="C300" s="11"/>
      <c r="D300" s="59"/>
      <c r="E300" s="11"/>
      <c r="F300" s="11"/>
      <c r="G300" s="11"/>
      <c r="H300" s="142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6.5" customHeight="1">
      <c r="A301" s="11"/>
      <c r="B301" s="11"/>
      <c r="C301" s="11"/>
      <c r="D301" s="59"/>
      <c r="E301" s="11"/>
      <c r="F301" s="11"/>
      <c r="G301" s="11"/>
      <c r="H301" s="142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6.5" customHeight="1">
      <c r="A302" s="11"/>
      <c r="B302" s="11"/>
      <c r="C302" s="11"/>
      <c r="D302" s="59"/>
      <c r="E302" s="11"/>
      <c r="F302" s="11"/>
      <c r="G302" s="11"/>
      <c r="H302" s="142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6.5" customHeight="1">
      <c r="A303" s="11"/>
      <c r="B303" s="11"/>
      <c r="C303" s="11"/>
      <c r="D303" s="59"/>
      <c r="E303" s="11"/>
      <c r="F303" s="11"/>
      <c r="G303" s="11"/>
      <c r="H303" s="142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6.5" customHeight="1">
      <c r="A304" s="11"/>
      <c r="B304" s="11"/>
      <c r="C304" s="11"/>
      <c r="D304" s="59"/>
      <c r="E304" s="11"/>
      <c r="F304" s="11"/>
      <c r="G304" s="11"/>
      <c r="H304" s="142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6.5" customHeight="1">
      <c r="A305" s="11"/>
      <c r="B305" s="11"/>
      <c r="C305" s="11"/>
      <c r="D305" s="59"/>
      <c r="E305" s="11"/>
      <c r="F305" s="11"/>
      <c r="G305" s="11"/>
      <c r="H305" s="142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6.5" customHeight="1">
      <c r="A306" s="11"/>
      <c r="B306" s="11"/>
      <c r="C306" s="11"/>
      <c r="D306" s="59"/>
      <c r="E306" s="11"/>
      <c r="F306" s="11"/>
      <c r="G306" s="11"/>
      <c r="H306" s="142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6.5" customHeight="1">
      <c r="A307" s="11"/>
      <c r="B307" s="11"/>
      <c r="C307" s="11"/>
      <c r="D307" s="59"/>
      <c r="E307" s="11"/>
      <c r="F307" s="11"/>
      <c r="G307" s="11"/>
      <c r="H307" s="142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6.5" customHeight="1">
      <c r="A308" s="11"/>
      <c r="B308" s="11"/>
      <c r="C308" s="11"/>
      <c r="D308" s="59"/>
      <c r="E308" s="11"/>
      <c r="F308" s="11"/>
      <c r="G308" s="11"/>
      <c r="H308" s="142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6.5" customHeight="1">
      <c r="A309" s="11"/>
      <c r="B309" s="11"/>
      <c r="C309" s="11"/>
      <c r="D309" s="59"/>
      <c r="E309" s="11"/>
      <c r="F309" s="11"/>
      <c r="G309" s="11"/>
      <c r="H309" s="142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6.5" customHeight="1">
      <c r="A310" s="11"/>
      <c r="B310" s="11"/>
      <c r="C310" s="11"/>
      <c r="D310" s="59"/>
      <c r="E310" s="11"/>
      <c r="F310" s="11"/>
      <c r="G310" s="11"/>
      <c r="H310" s="142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6.5" customHeight="1">
      <c r="A311" s="11"/>
      <c r="B311" s="11"/>
      <c r="C311" s="11"/>
      <c r="D311" s="59"/>
      <c r="E311" s="11"/>
      <c r="F311" s="11"/>
      <c r="G311" s="11"/>
      <c r="H311" s="142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6.5" customHeight="1">
      <c r="A312" s="11"/>
      <c r="B312" s="11"/>
      <c r="C312" s="11"/>
      <c r="D312" s="59"/>
      <c r="E312" s="11"/>
      <c r="F312" s="11"/>
      <c r="G312" s="11"/>
      <c r="H312" s="142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6.5" customHeight="1">
      <c r="A313" s="11"/>
      <c r="B313" s="11"/>
      <c r="C313" s="11"/>
      <c r="D313" s="59"/>
      <c r="E313" s="11"/>
      <c r="F313" s="11"/>
      <c r="G313" s="11"/>
      <c r="H313" s="142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6.5" customHeight="1">
      <c r="A314" s="11"/>
      <c r="B314" s="11"/>
      <c r="C314" s="11"/>
      <c r="D314" s="59"/>
      <c r="E314" s="11"/>
      <c r="F314" s="11"/>
      <c r="G314" s="11"/>
      <c r="H314" s="142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6.5" customHeight="1">
      <c r="A315" s="11"/>
      <c r="B315" s="11"/>
      <c r="C315" s="11"/>
      <c r="D315" s="59"/>
      <c r="E315" s="11"/>
      <c r="F315" s="11"/>
      <c r="G315" s="11"/>
      <c r="H315" s="142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6.5" customHeight="1">
      <c r="A316" s="11"/>
      <c r="B316" s="11"/>
      <c r="C316" s="11"/>
      <c r="D316" s="59"/>
      <c r="E316" s="11"/>
      <c r="F316" s="11"/>
      <c r="G316" s="11"/>
      <c r="H316" s="142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6.5" customHeight="1">
      <c r="A317" s="11"/>
      <c r="B317" s="11"/>
      <c r="C317" s="11"/>
      <c r="D317" s="59"/>
      <c r="E317" s="11"/>
      <c r="F317" s="11"/>
      <c r="G317" s="11"/>
      <c r="H317" s="142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6.5" customHeight="1">
      <c r="A318" s="11"/>
      <c r="B318" s="11"/>
      <c r="C318" s="11"/>
      <c r="D318" s="59"/>
      <c r="E318" s="11"/>
      <c r="F318" s="11"/>
      <c r="G318" s="11"/>
      <c r="H318" s="142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6.5" customHeight="1">
      <c r="A319" s="11"/>
      <c r="B319" s="11"/>
      <c r="C319" s="11"/>
      <c r="D319" s="59"/>
      <c r="E319" s="11"/>
      <c r="F319" s="11"/>
      <c r="G319" s="11"/>
      <c r="H319" s="142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6.5" customHeight="1">
      <c r="A320" s="11"/>
      <c r="B320" s="11"/>
      <c r="C320" s="11"/>
      <c r="D320" s="59"/>
      <c r="E320" s="11"/>
      <c r="F320" s="11"/>
      <c r="G320" s="11"/>
      <c r="H320" s="142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6.5" customHeight="1">
      <c r="A321" s="11"/>
      <c r="B321" s="11"/>
      <c r="C321" s="11"/>
      <c r="D321" s="59"/>
      <c r="E321" s="11"/>
      <c r="F321" s="11"/>
      <c r="G321" s="11"/>
      <c r="H321" s="142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6.5" customHeight="1">
      <c r="A322" s="11"/>
      <c r="B322" s="11"/>
      <c r="C322" s="11"/>
      <c r="D322" s="59"/>
      <c r="E322" s="11"/>
      <c r="F322" s="11"/>
      <c r="G322" s="11"/>
      <c r="H322" s="142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6.5" customHeight="1">
      <c r="A323" s="11"/>
      <c r="B323" s="11"/>
      <c r="C323" s="11"/>
      <c r="D323" s="59"/>
      <c r="E323" s="11"/>
      <c r="F323" s="11"/>
      <c r="G323" s="11"/>
      <c r="H323" s="142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6.5" customHeight="1">
      <c r="A324" s="11"/>
      <c r="B324" s="11"/>
      <c r="C324" s="11"/>
      <c r="D324" s="59"/>
      <c r="E324" s="11"/>
      <c r="F324" s="11"/>
      <c r="G324" s="11"/>
      <c r="H324" s="142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6.5" customHeight="1">
      <c r="A325" s="11"/>
      <c r="B325" s="11"/>
      <c r="C325" s="11"/>
      <c r="D325" s="59"/>
      <c r="E325" s="11"/>
      <c r="F325" s="11"/>
      <c r="G325" s="11"/>
      <c r="H325" s="142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6.5" customHeight="1">
      <c r="A326" s="11"/>
      <c r="B326" s="11"/>
      <c r="C326" s="11"/>
      <c r="D326" s="59"/>
      <c r="E326" s="11"/>
      <c r="F326" s="11"/>
      <c r="G326" s="11"/>
      <c r="H326" s="142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6.5" customHeight="1">
      <c r="A327" s="11"/>
      <c r="B327" s="11"/>
      <c r="C327" s="11"/>
      <c r="D327" s="59"/>
      <c r="E327" s="11"/>
      <c r="F327" s="11"/>
      <c r="G327" s="11"/>
      <c r="H327" s="142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6.5" customHeight="1">
      <c r="A328" s="11"/>
      <c r="B328" s="11"/>
      <c r="C328" s="11"/>
      <c r="D328" s="59"/>
      <c r="E328" s="11"/>
      <c r="F328" s="11"/>
      <c r="G328" s="11"/>
      <c r="H328" s="142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6.5" customHeight="1">
      <c r="A329" s="11"/>
      <c r="B329" s="11"/>
      <c r="C329" s="11"/>
      <c r="D329" s="59"/>
      <c r="E329" s="11"/>
      <c r="F329" s="11"/>
      <c r="G329" s="11"/>
      <c r="H329" s="142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6.5" customHeight="1">
      <c r="A330" s="11"/>
      <c r="B330" s="11"/>
      <c r="C330" s="11"/>
      <c r="D330" s="59"/>
      <c r="E330" s="11"/>
      <c r="F330" s="11"/>
      <c r="G330" s="11"/>
      <c r="H330" s="142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6.5" customHeight="1">
      <c r="A331" s="11"/>
      <c r="B331" s="11"/>
      <c r="C331" s="11"/>
      <c r="D331" s="59"/>
      <c r="E331" s="11"/>
      <c r="F331" s="11"/>
      <c r="G331" s="11"/>
      <c r="H331" s="142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6.5" customHeight="1">
      <c r="A332" s="11"/>
      <c r="B332" s="11"/>
      <c r="C332" s="11"/>
      <c r="D332" s="59"/>
      <c r="E332" s="11"/>
      <c r="F332" s="11"/>
      <c r="G332" s="11"/>
      <c r="H332" s="142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6.5" customHeight="1">
      <c r="A333" s="11"/>
      <c r="B333" s="11"/>
      <c r="C333" s="11"/>
      <c r="D333" s="59"/>
      <c r="E333" s="11"/>
      <c r="F333" s="11"/>
      <c r="G333" s="11"/>
      <c r="H333" s="142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6.5" customHeight="1">
      <c r="A334" s="11"/>
      <c r="B334" s="11"/>
      <c r="C334" s="11"/>
      <c r="D334" s="59"/>
      <c r="E334" s="11"/>
      <c r="F334" s="11"/>
      <c r="G334" s="11"/>
      <c r="H334" s="142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customHeight="1">
      <c r="D335" s="145"/>
      <c r="H335" s="142"/>
    </row>
    <row r="336" ht="15.75" customHeight="1">
      <c r="D336" s="145"/>
      <c r="H336" s="142"/>
    </row>
    <row r="337" ht="15.75" customHeight="1">
      <c r="D337" s="145"/>
      <c r="H337" s="142"/>
    </row>
    <row r="338" ht="15.75" customHeight="1">
      <c r="D338" s="145"/>
      <c r="H338" s="142"/>
    </row>
    <row r="339" ht="15.75" customHeight="1">
      <c r="D339" s="145"/>
      <c r="H339" s="142"/>
    </row>
    <row r="340" ht="15.75" customHeight="1">
      <c r="D340" s="145"/>
      <c r="H340" s="142"/>
    </row>
    <row r="341" ht="15.75" customHeight="1">
      <c r="D341" s="145"/>
      <c r="H341" s="142"/>
    </row>
    <row r="342" ht="15.75" customHeight="1">
      <c r="D342" s="145"/>
      <c r="H342" s="142"/>
    </row>
    <row r="343" ht="15.75" customHeight="1">
      <c r="D343" s="145"/>
      <c r="H343" s="142"/>
    </row>
    <row r="344" ht="15.75" customHeight="1">
      <c r="D344" s="145"/>
      <c r="H344" s="142"/>
    </row>
    <row r="345" ht="15.75" customHeight="1">
      <c r="D345" s="145"/>
      <c r="H345" s="142"/>
    </row>
    <row r="346" ht="15.75" customHeight="1">
      <c r="D346" s="145"/>
      <c r="H346" s="142"/>
    </row>
    <row r="347" ht="15.75" customHeight="1">
      <c r="D347" s="145"/>
      <c r="H347" s="142"/>
    </row>
    <row r="348" ht="15.75" customHeight="1">
      <c r="D348" s="145"/>
      <c r="H348" s="142"/>
    </row>
    <row r="349" ht="15.75" customHeight="1">
      <c r="D349" s="145"/>
      <c r="H349" s="142"/>
    </row>
    <row r="350" ht="15.75" customHeight="1">
      <c r="D350" s="145"/>
      <c r="H350" s="142"/>
    </row>
    <row r="351" ht="15.75" customHeight="1">
      <c r="D351" s="145"/>
      <c r="H351" s="142"/>
    </row>
    <row r="352" ht="15.75" customHeight="1">
      <c r="D352" s="145"/>
      <c r="H352" s="142"/>
    </row>
    <row r="353" ht="15.75" customHeight="1">
      <c r="D353" s="145"/>
      <c r="H353" s="142"/>
    </row>
    <row r="354" ht="15.75" customHeight="1">
      <c r="D354" s="145"/>
      <c r="H354" s="142"/>
    </row>
    <row r="355" ht="15.75" customHeight="1">
      <c r="D355" s="145"/>
      <c r="H355" s="142"/>
    </row>
    <row r="356" ht="15.75" customHeight="1">
      <c r="D356" s="145"/>
      <c r="H356" s="142"/>
    </row>
    <row r="357" ht="15.75" customHeight="1">
      <c r="D357" s="145"/>
      <c r="H357" s="142"/>
    </row>
    <row r="358" ht="15.75" customHeight="1">
      <c r="D358" s="145"/>
      <c r="H358" s="142"/>
    </row>
    <row r="359" ht="15.75" customHeight="1">
      <c r="D359" s="145"/>
      <c r="H359" s="142"/>
    </row>
    <row r="360" ht="15.75" customHeight="1">
      <c r="D360" s="145"/>
      <c r="H360" s="142"/>
    </row>
    <row r="361" ht="15.75" customHeight="1">
      <c r="D361" s="145"/>
      <c r="H361" s="142"/>
    </row>
    <row r="362" ht="15.75" customHeight="1">
      <c r="D362" s="145"/>
      <c r="H362" s="142"/>
    </row>
    <row r="363" ht="15.75" customHeight="1">
      <c r="D363" s="145"/>
      <c r="H363" s="142"/>
    </row>
    <row r="364" ht="15.75" customHeight="1">
      <c r="D364" s="145"/>
      <c r="H364" s="142"/>
    </row>
    <row r="365" ht="15.75" customHeight="1">
      <c r="D365" s="145"/>
      <c r="H365" s="142"/>
    </row>
    <row r="366" ht="15.75" customHeight="1">
      <c r="D366" s="145"/>
      <c r="H366" s="142"/>
    </row>
    <row r="367" ht="15.75" customHeight="1">
      <c r="D367" s="145"/>
      <c r="H367" s="142"/>
    </row>
    <row r="368" ht="15.75" customHeight="1">
      <c r="D368" s="145"/>
      <c r="H368" s="142"/>
    </row>
    <row r="369" ht="15.75" customHeight="1">
      <c r="D369" s="145"/>
      <c r="H369" s="142"/>
    </row>
    <row r="370" ht="15.75" customHeight="1">
      <c r="D370" s="145"/>
      <c r="H370" s="142"/>
    </row>
    <row r="371" ht="15.75" customHeight="1">
      <c r="D371" s="145"/>
      <c r="H371" s="142"/>
    </row>
    <row r="372" ht="15.75" customHeight="1">
      <c r="D372" s="145"/>
      <c r="H372" s="142"/>
    </row>
    <row r="373" ht="15.75" customHeight="1">
      <c r="D373" s="145"/>
      <c r="H373" s="142"/>
    </row>
    <row r="374" ht="15.75" customHeight="1">
      <c r="D374" s="145"/>
      <c r="H374" s="142"/>
    </row>
    <row r="375" ht="15.75" customHeight="1">
      <c r="D375" s="145"/>
      <c r="H375" s="142"/>
    </row>
    <row r="376" ht="15.75" customHeight="1">
      <c r="D376" s="145"/>
      <c r="H376" s="142"/>
    </row>
    <row r="377" ht="15.75" customHeight="1">
      <c r="D377" s="145"/>
      <c r="H377" s="142"/>
    </row>
    <row r="378" ht="15.75" customHeight="1">
      <c r="D378" s="145"/>
      <c r="H378" s="142"/>
    </row>
    <row r="379" ht="15.75" customHeight="1">
      <c r="D379" s="145"/>
      <c r="H379" s="142"/>
    </row>
    <row r="380" ht="15.75" customHeight="1">
      <c r="D380" s="145"/>
      <c r="H380" s="142"/>
    </row>
    <row r="381" ht="15.75" customHeight="1">
      <c r="D381" s="145"/>
      <c r="H381" s="142"/>
    </row>
    <row r="382" ht="15.75" customHeight="1">
      <c r="D382" s="145"/>
      <c r="H382" s="142"/>
    </row>
    <row r="383" ht="15.75" customHeight="1">
      <c r="D383" s="145"/>
      <c r="H383" s="142"/>
    </row>
    <row r="384" ht="15.75" customHeight="1">
      <c r="D384" s="145"/>
      <c r="H384" s="142"/>
    </row>
    <row r="385" ht="15.75" customHeight="1">
      <c r="D385" s="145"/>
      <c r="H385" s="142"/>
    </row>
    <row r="386" ht="15.75" customHeight="1">
      <c r="D386" s="145"/>
      <c r="H386" s="142"/>
    </row>
    <row r="387" ht="15.75" customHeight="1">
      <c r="D387" s="145"/>
      <c r="H387" s="142"/>
    </row>
    <row r="388" ht="15.75" customHeight="1">
      <c r="D388" s="145"/>
      <c r="H388" s="142"/>
    </row>
    <row r="389" ht="15.75" customHeight="1">
      <c r="D389" s="145"/>
      <c r="H389" s="142"/>
    </row>
    <row r="390" ht="15.75" customHeight="1">
      <c r="D390" s="145"/>
      <c r="H390" s="142"/>
    </row>
    <row r="391" ht="15.75" customHeight="1">
      <c r="D391" s="145"/>
      <c r="H391" s="142"/>
    </row>
    <row r="392" ht="15.75" customHeight="1">
      <c r="D392" s="145"/>
      <c r="H392" s="142"/>
    </row>
    <row r="393" ht="15.75" customHeight="1">
      <c r="D393" s="145"/>
      <c r="H393" s="142"/>
    </row>
    <row r="394" ht="15.75" customHeight="1">
      <c r="D394" s="145"/>
      <c r="H394" s="142"/>
    </row>
    <row r="395" ht="15.75" customHeight="1">
      <c r="D395" s="145"/>
      <c r="H395" s="142"/>
    </row>
    <row r="396" ht="15.75" customHeight="1">
      <c r="D396" s="145"/>
      <c r="H396" s="142"/>
    </row>
    <row r="397" ht="15.75" customHeight="1">
      <c r="D397" s="145"/>
      <c r="H397" s="142"/>
    </row>
    <row r="398" ht="15.75" customHeight="1">
      <c r="D398" s="145"/>
      <c r="H398" s="142"/>
    </row>
    <row r="399" ht="15.75" customHeight="1">
      <c r="D399" s="145"/>
      <c r="H399" s="142"/>
    </row>
    <row r="400" ht="15.75" customHeight="1">
      <c r="D400" s="145"/>
      <c r="H400" s="142"/>
    </row>
    <row r="401" ht="15.75" customHeight="1">
      <c r="D401" s="145"/>
      <c r="H401" s="142"/>
    </row>
    <row r="402" ht="15.75" customHeight="1">
      <c r="D402" s="145"/>
      <c r="H402" s="142"/>
    </row>
    <row r="403" ht="15.75" customHeight="1">
      <c r="D403" s="145"/>
      <c r="H403" s="142"/>
    </row>
    <row r="404" ht="15.75" customHeight="1">
      <c r="D404" s="145"/>
      <c r="H404" s="142"/>
    </row>
    <row r="405" ht="15.75" customHeight="1">
      <c r="D405" s="145"/>
      <c r="H405" s="142"/>
    </row>
    <row r="406" ht="15.75" customHeight="1">
      <c r="D406" s="145"/>
      <c r="H406" s="142"/>
    </row>
    <row r="407" ht="15.75" customHeight="1">
      <c r="D407" s="145"/>
      <c r="H407" s="142"/>
    </row>
    <row r="408" ht="15.75" customHeight="1">
      <c r="D408" s="145"/>
      <c r="H408" s="142"/>
    </row>
    <row r="409" ht="15.75" customHeight="1">
      <c r="D409" s="145"/>
      <c r="H409" s="142"/>
    </row>
    <row r="410" ht="15.75" customHeight="1">
      <c r="D410" s="145"/>
      <c r="H410" s="142"/>
    </row>
    <row r="411" ht="15.75" customHeight="1">
      <c r="D411" s="145"/>
      <c r="H411" s="142"/>
    </row>
    <row r="412" ht="15.75" customHeight="1">
      <c r="D412" s="145"/>
      <c r="H412" s="142"/>
    </row>
    <row r="413" ht="15.75" customHeight="1">
      <c r="D413" s="145"/>
      <c r="H413" s="142"/>
    </row>
    <row r="414" ht="15.75" customHeight="1">
      <c r="D414" s="145"/>
      <c r="H414" s="142"/>
    </row>
    <row r="415" ht="15.75" customHeight="1">
      <c r="D415" s="145"/>
      <c r="H415" s="142"/>
    </row>
    <row r="416" ht="15.75" customHeight="1">
      <c r="D416" s="145"/>
      <c r="H416" s="142"/>
    </row>
    <row r="417" ht="15.75" customHeight="1">
      <c r="D417" s="145"/>
      <c r="H417" s="142"/>
    </row>
    <row r="418" ht="15.75" customHeight="1">
      <c r="D418" s="145"/>
      <c r="H418" s="142"/>
    </row>
    <row r="419" ht="15.75" customHeight="1">
      <c r="D419" s="145"/>
      <c r="H419" s="142"/>
    </row>
    <row r="420" ht="15.75" customHeight="1">
      <c r="D420" s="145"/>
      <c r="H420" s="142"/>
    </row>
    <row r="421" ht="15.75" customHeight="1">
      <c r="D421" s="145"/>
      <c r="H421" s="142"/>
    </row>
    <row r="422" ht="15.75" customHeight="1">
      <c r="D422" s="145"/>
      <c r="H422" s="142"/>
    </row>
    <row r="423" ht="15.75" customHeight="1">
      <c r="D423" s="145"/>
      <c r="H423" s="142"/>
    </row>
    <row r="424" ht="15.75" customHeight="1">
      <c r="D424" s="145"/>
      <c r="H424" s="142"/>
    </row>
    <row r="425" ht="15.75" customHeight="1">
      <c r="D425" s="145"/>
      <c r="H425" s="142"/>
    </row>
    <row r="426" ht="15.75" customHeight="1">
      <c r="D426" s="145"/>
      <c r="H426" s="142"/>
    </row>
    <row r="427" ht="15.75" customHeight="1">
      <c r="D427" s="145"/>
      <c r="H427" s="142"/>
    </row>
    <row r="428" ht="15.75" customHeight="1">
      <c r="D428" s="145"/>
      <c r="H428" s="142"/>
    </row>
    <row r="429" ht="15.75" customHeight="1">
      <c r="D429" s="145"/>
      <c r="H429" s="142"/>
    </row>
    <row r="430" ht="15.75" customHeight="1">
      <c r="D430" s="145"/>
      <c r="H430" s="142"/>
    </row>
    <row r="431" ht="15.75" customHeight="1">
      <c r="D431" s="145"/>
      <c r="H431" s="142"/>
    </row>
    <row r="432" ht="15.75" customHeight="1">
      <c r="D432" s="145"/>
      <c r="H432" s="142"/>
    </row>
    <row r="433" ht="15.75" customHeight="1">
      <c r="D433" s="145"/>
      <c r="H433" s="142"/>
    </row>
    <row r="434" ht="15.75" customHeight="1">
      <c r="D434" s="145"/>
      <c r="H434" s="142"/>
    </row>
    <row r="435" ht="15.75" customHeight="1">
      <c r="D435" s="145"/>
      <c r="H435" s="142"/>
    </row>
    <row r="436" ht="15.75" customHeight="1">
      <c r="D436" s="145"/>
      <c r="H436" s="142"/>
    </row>
    <row r="437" ht="15.75" customHeight="1">
      <c r="D437" s="145"/>
      <c r="H437" s="142"/>
    </row>
    <row r="438" ht="15.75" customHeight="1">
      <c r="D438" s="145"/>
      <c r="H438" s="142"/>
    </row>
    <row r="439" ht="15.75" customHeight="1">
      <c r="D439" s="145"/>
      <c r="H439" s="142"/>
    </row>
    <row r="440" ht="15.75" customHeight="1">
      <c r="D440" s="145"/>
      <c r="H440" s="142"/>
    </row>
    <row r="441" ht="15.75" customHeight="1">
      <c r="D441" s="145"/>
      <c r="H441" s="142"/>
    </row>
    <row r="442" ht="15.75" customHeight="1">
      <c r="D442" s="145"/>
      <c r="H442" s="142"/>
    </row>
    <row r="443" ht="15.75" customHeight="1">
      <c r="D443" s="145"/>
      <c r="H443" s="142"/>
    </row>
    <row r="444" ht="15.75" customHeight="1">
      <c r="D444" s="145"/>
      <c r="H444" s="142"/>
    </row>
    <row r="445" ht="15.75" customHeight="1">
      <c r="D445" s="145"/>
      <c r="H445" s="142"/>
    </row>
    <row r="446" ht="15.75" customHeight="1">
      <c r="D446" s="145"/>
      <c r="H446" s="142"/>
    </row>
    <row r="447" ht="15.75" customHeight="1">
      <c r="D447" s="145"/>
      <c r="H447" s="142"/>
    </row>
    <row r="448" ht="15.75" customHeight="1">
      <c r="D448" s="145"/>
      <c r="H448" s="142"/>
    </row>
    <row r="449" ht="15.75" customHeight="1">
      <c r="D449" s="145"/>
      <c r="H449" s="142"/>
    </row>
    <row r="450" ht="15.75" customHeight="1">
      <c r="D450" s="145"/>
      <c r="H450" s="142"/>
    </row>
    <row r="451" ht="15.75" customHeight="1">
      <c r="D451" s="145"/>
      <c r="H451" s="142"/>
    </row>
    <row r="452" ht="15.75" customHeight="1">
      <c r="D452" s="145"/>
      <c r="H452" s="142"/>
    </row>
    <row r="453" ht="15.75" customHeight="1">
      <c r="D453" s="145"/>
      <c r="H453" s="142"/>
    </row>
    <row r="454" ht="15.75" customHeight="1">
      <c r="D454" s="145"/>
      <c r="H454" s="142"/>
    </row>
    <row r="455" ht="15.75" customHeight="1">
      <c r="D455" s="145"/>
      <c r="H455" s="142"/>
    </row>
    <row r="456" ht="15.75" customHeight="1">
      <c r="D456" s="145"/>
      <c r="H456" s="142"/>
    </row>
    <row r="457" ht="15.75" customHeight="1">
      <c r="D457" s="145"/>
      <c r="H457" s="142"/>
    </row>
    <row r="458" ht="15.75" customHeight="1">
      <c r="D458" s="145"/>
      <c r="H458" s="142"/>
    </row>
    <row r="459" ht="15.75" customHeight="1">
      <c r="D459" s="145"/>
      <c r="H459" s="142"/>
    </row>
    <row r="460" ht="15.75" customHeight="1">
      <c r="D460" s="145"/>
      <c r="H460" s="142"/>
    </row>
    <row r="461" ht="15.75" customHeight="1">
      <c r="D461" s="145"/>
      <c r="H461" s="142"/>
    </row>
    <row r="462" ht="15.75" customHeight="1">
      <c r="D462" s="145"/>
      <c r="H462" s="142"/>
    </row>
    <row r="463" ht="15.75" customHeight="1">
      <c r="D463" s="145"/>
      <c r="H463" s="142"/>
    </row>
    <row r="464" ht="15.75" customHeight="1">
      <c r="D464" s="145"/>
      <c r="H464" s="142"/>
    </row>
    <row r="465" ht="15.75" customHeight="1">
      <c r="D465" s="145"/>
      <c r="H465" s="142"/>
    </row>
    <row r="466" ht="15.75" customHeight="1">
      <c r="D466" s="145"/>
      <c r="H466" s="142"/>
    </row>
    <row r="467" ht="15.75" customHeight="1">
      <c r="D467" s="145"/>
      <c r="H467" s="142"/>
    </row>
    <row r="468" ht="15.75" customHeight="1">
      <c r="D468" s="145"/>
      <c r="H468" s="142"/>
    </row>
    <row r="469" ht="15.75" customHeight="1">
      <c r="D469" s="145"/>
      <c r="H469" s="142"/>
    </row>
    <row r="470" ht="15.75" customHeight="1">
      <c r="D470" s="145"/>
      <c r="H470" s="142"/>
    </row>
    <row r="471" ht="15.75" customHeight="1">
      <c r="D471" s="145"/>
      <c r="H471" s="142"/>
    </row>
    <row r="472" ht="15.75" customHeight="1">
      <c r="D472" s="145"/>
      <c r="H472" s="142"/>
    </row>
    <row r="473" ht="15.75" customHeight="1">
      <c r="D473" s="145"/>
      <c r="H473" s="142"/>
    </row>
    <row r="474" ht="15.75" customHeight="1">
      <c r="D474" s="145"/>
      <c r="H474" s="142"/>
    </row>
    <row r="475" ht="15.75" customHeight="1">
      <c r="D475" s="145"/>
      <c r="H475" s="142"/>
    </row>
    <row r="476" ht="15.75" customHeight="1">
      <c r="D476" s="145"/>
      <c r="H476" s="142"/>
    </row>
    <row r="477" ht="15.75" customHeight="1">
      <c r="D477" s="145"/>
      <c r="H477" s="142"/>
    </row>
    <row r="478" ht="15.75" customHeight="1">
      <c r="D478" s="145"/>
      <c r="H478" s="142"/>
    </row>
    <row r="479" ht="15.75" customHeight="1">
      <c r="D479" s="145"/>
      <c r="H479" s="142"/>
    </row>
    <row r="480" ht="15.75" customHeight="1">
      <c r="D480" s="145"/>
      <c r="H480" s="142"/>
    </row>
    <row r="481" ht="15.75" customHeight="1">
      <c r="D481" s="145"/>
      <c r="H481" s="142"/>
    </row>
    <row r="482" ht="15.75" customHeight="1">
      <c r="D482" s="145"/>
      <c r="H482" s="142"/>
    </row>
    <row r="483" ht="15.75" customHeight="1">
      <c r="D483" s="145"/>
      <c r="H483" s="142"/>
    </row>
    <row r="484" ht="15.75" customHeight="1">
      <c r="D484" s="145"/>
      <c r="H484" s="142"/>
    </row>
    <row r="485" ht="15.75" customHeight="1">
      <c r="D485" s="145"/>
      <c r="H485" s="142"/>
    </row>
    <row r="486" ht="15.75" customHeight="1">
      <c r="D486" s="145"/>
      <c r="H486" s="142"/>
    </row>
    <row r="487" ht="15.75" customHeight="1">
      <c r="D487" s="145"/>
      <c r="H487" s="142"/>
    </row>
    <row r="488" ht="15.75" customHeight="1">
      <c r="D488" s="145"/>
      <c r="H488" s="142"/>
    </row>
    <row r="489" ht="15.75" customHeight="1">
      <c r="D489" s="145"/>
      <c r="H489" s="142"/>
    </row>
    <row r="490" ht="15.75" customHeight="1">
      <c r="D490" s="145"/>
      <c r="H490" s="142"/>
    </row>
    <row r="491" ht="15.75" customHeight="1">
      <c r="D491" s="145"/>
      <c r="H491" s="142"/>
    </row>
    <row r="492" ht="15.75" customHeight="1">
      <c r="D492" s="145"/>
      <c r="H492" s="142"/>
    </row>
    <row r="493" ht="15.75" customHeight="1">
      <c r="D493" s="145"/>
      <c r="H493" s="142"/>
    </row>
    <row r="494" ht="15.75" customHeight="1">
      <c r="D494" s="145"/>
      <c r="H494" s="142"/>
    </row>
    <row r="495" ht="15.75" customHeight="1">
      <c r="D495" s="145"/>
      <c r="H495" s="142"/>
    </row>
    <row r="496" ht="15.75" customHeight="1">
      <c r="D496" s="145"/>
      <c r="H496" s="142"/>
    </row>
    <row r="497" ht="15.75" customHeight="1">
      <c r="D497" s="145"/>
      <c r="H497" s="142"/>
    </row>
    <row r="498" ht="15.75" customHeight="1">
      <c r="D498" s="145"/>
      <c r="H498" s="142"/>
    </row>
    <row r="499" ht="15.75" customHeight="1">
      <c r="D499" s="145"/>
      <c r="H499" s="142"/>
    </row>
    <row r="500" ht="15.75" customHeight="1">
      <c r="D500" s="145"/>
      <c r="H500" s="142"/>
    </row>
    <row r="501" ht="15.75" customHeight="1">
      <c r="D501" s="145"/>
      <c r="H501" s="142"/>
    </row>
    <row r="502" ht="15.75" customHeight="1">
      <c r="D502" s="145"/>
      <c r="H502" s="142"/>
    </row>
    <row r="503" ht="15.75" customHeight="1">
      <c r="D503" s="145"/>
      <c r="H503" s="142"/>
    </row>
    <row r="504" ht="15.75" customHeight="1">
      <c r="D504" s="145"/>
      <c r="H504" s="142"/>
    </row>
    <row r="505" ht="15.75" customHeight="1">
      <c r="D505" s="145"/>
      <c r="H505" s="142"/>
    </row>
    <row r="506" ht="15.75" customHeight="1">
      <c r="D506" s="145"/>
      <c r="H506" s="142"/>
    </row>
    <row r="507" ht="15.75" customHeight="1">
      <c r="D507" s="145"/>
      <c r="H507" s="142"/>
    </row>
    <row r="508" ht="15.75" customHeight="1">
      <c r="D508" s="145"/>
      <c r="H508" s="142"/>
    </row>
    <row r="509" ht="15.75" customHeight="1">
      <c r="D509" s="145"/>
      <c r="H509" s="142"/>
    </row>
    <row r="510" ht="15.75" customHeight="1">
      <c r="D510" s="145"/>
      <c r="H510" s="142"/>
    </row>
    <row r="511" ht="15.75" customHeight="1">
      <c r="D511" s="145"/>
      <c r="H511" s="142"/>
    </row>
    <row r="512" ht="15.75" customHeight="1">
      <c r="D512" s="145"/>
      <c r="H512" s="142"/>
    </row>
    <row r="513" ht="15.75" customHeight="1">
      <c r="D513" s="145"/>
      <c r="H513" s="142"/>
    </row>
    <row r="514" ht="15.75" customHeight="1">
      <c r="D514" s="145"/>
      <c r="H514" s="142"/>
    </row>
    <row r="515" ht="15.75" customHeight="1">
      <c r="D515" s="145"/>
      <c r="H515" s="142"/>
    </row>
    <row r="516" ht="15.75" customHeight="1">
      <c r="D516" s="145"/>
      <c r="H516" s="142"/>
    </row>
    <row r="517" ht="15.75" customHeight="1">
      <c r="D517" s="145"/>
      <c r="H517" s="142"/>
    </row>
    <row r="518" ht="15.75" customHeight="1">
      <c r="D518" s="145"/>
      <c r="H518" s="142"/>
    </row>
    <row r="519" ht="15.75" customHeight="1">
      <c r="D519" s="145"/>
      <c r="H519" s="142"/>
    </row>
    <row r="520" ht="15.75" customHeight="1">
      <c r="D520" s="145"/>
      <c r="H520" s="142"/>
    </row>
    <row r="521" ht="15.75" customHeight="1">
      <c r="D521" s="145"/>
      <c r="H521" s="142"/>
    </row>
    <row r="522" ht="15.75" customHeight="1">
      <c r="D522" s="145"/>
      <c r="H522" s="142"/>
    </row>
    <row r="523" ht="15.75" customHeight="1">
      <c r="D523" s="145"/>
      <c r="H523" s="142"/>
    </row>
    <row r="524" ht="15.75" customHeight="1">
      <c r="D524" s="145"/>
      <c r="H524" s="142"/>
    </row>
    <row r="525" ht="15.75" customHeight="1">
      <c r="D525" s="145"/>
      <c r="H525" s="142"/>
    </row>
    <row r="526" ht="15.75" customHeight="1">
      <c r="D526" s="145"/>
      <c r="H526" s="142"/>
    </row>
    <row r="527" ht="15.75" customHeight="1">
      <c r="D527" s="145"/>
      <c r="H527" s="142"/>
    </row>
    <row r="528" ht="15.75" customHeight="1">
      <c r="D528" s="145"/>
      <c r="H528" s="142"/>
    </row>
    <row r="529" ht="15.75" customHeight="1">
      <c r="D529" s="145"/>
      <c r="H529" s="142"/>
    </row>
    <row r="530" ht="15.75" customHeight="1">
      <c r="D530" s="145"/>
      <c r="H530" s="142"/>
    </row>
    <row r="531" ht="15.75" customHeight="1">
      <c r="D531" s="145"/>
      <c r="H531" s="142"/>
    </row>
    <row r="532" ht="15.75" customHeight="1">
      <c r="D532" s="145"/>
      <c r="H532" s="142"/>
    </row>
    <row r="533" ht="15.75" customHeight="1">
      <c r="D533" s="145"/>
      <c r="H533" s="142"/>
    </row>
    <row r="534" ht="15.75" customHeight="1">
      <c r="D534" s="145"/>
      <c r="H534" s="142"/>
    </row>
    <row r="535" ht="15.75" customHeight="1">
      <c r="D535" s="145"/>
      <c r="H535" s="142"/>
    </row>
    <row r="536" ht="15.75" customHeight="1">
      <c r="D536" s="145"/>
      <c r="H536" s="142"/>
    </row>
    <row r="537" ht="15.75" customHeight="1">
      <c r="D537" s="145"/>
      <c r="H537" s="142"/>
    </row>
    <row r="538" ht="15.75" customHeight="1">
      <c r="D538" s="145"/>
      <c r="H538" s="142"/>
    </row>
    <row r="539" ht="15.75" customHeight="1">
      <c r="D539" s="145"/>
      <c r="H539" s="142"/>
    </row>
    <row r="540" ht="15.75" customHeight="1">
      <c r="D540" s="145"/>
      <c r="H540" s="142"/>
    </row>
    <row r="541" ht="15.75" customHeight="1">
      <c r="D541" s="145"/>
      <c r="H541" s="142"/>
    </row>
    <row r="542" ht="15.75" customHeight="1">
      <c r="D542" s="145"/>
      <c r="H542" s="142"/>
    </row>
    <row r="543" ht="15.75" customHeight="1">
      <c r="D543" s="145"/>
      <c r="H543" s="142"/>
    </row>
    <row r="544" ht="15.75" customHeight="1">
      <c r="D544" s="145"/>
      <c r="H544" s="142"/>
    </row>
    <row r="545" ht="15.75" customHeight="1">
      <c r="D545" s="145"/>
      <c r="H545" s="142"/>
    </row>
    <row r="546" ht="15.75" customHeight="1">
      <c r="D546" s="145"/>
      <c r="H546" s="142"/>
    </row>
    <row r="547" ht="15.75" customHeight="1">
      <c r="D547" s="145"/>
      <c r="H547" s="142"/>
    </row>
    <row r="548" ht="15.75" customHeight="1">
      <c r="D548" s="145"/>
      <c r="H548" s="142"/>
    </row>
    <row r="549" ht="15.75" customHeight="1">
      <c r="D549" s="145"/>
      <c r="H549" s="142"/>
    </row>
    <row r="550" ht="15.75" customHeight="1">
      <c r="D550" s="145"/>
      <c r="H550" s="142"/>
    </row>
    <row r="551" ht="15.75" customHeight="1">
      <c r="D551" s="145"/>
      <c r="H551" s="142"/>
    </row>
    <row r="552" ht="15.75" customHeight="1">
      <c r="D552" s="145"/>
      <c r="H552" s="142"/>
    </row>
    <row r="553" ht="15.75" customHeight="1">
      <c r="D553" s="145"/>
      <c r="H553" s="142"/>
    </row>
    <row r="554" ht="15.75" customHeight="1">
      <c r="D554" s="145"/>
      <c r="H554" s="142"/>
    </row>
    <row r="555" ht="15.75" customHeight="1">
      <c r="D555" s="145"/>
      <c r="H555" s="142"/>
    </row>
    <row r="556" ht="15.75" customHeight="1">
      <c r="D556" s="145"/>
      <c r="H556" s="142"/>
    </row>
    <row r="557" ht="15.75" customHeight="1">
      <c r="D557" s="145"/>
      <c r="H557" s="142"/>
    </row>
    <row r="558" ht="15.75" customHeight="1">
      <c r="D558" s="145"/>
      <c r="H558" s="142"/>
    </row>
    <row r="559" ht="15.75" customHeight="1">
      <c r="D559" s="145"/>
      <c r="H559" s="142"/>
    </row>
    <row r="560" ht="15.75" customHeight="1">
      <c r="D560" s="145"/>
      <c r="H560" s="142"/>
    </row>
    <row r="561" ht="15.75" customHeight="1">
      <c r="D561" s="145"/>
      <c r="H561" s="142"/>
    </row>
    <row r="562" ht="15.75" customHeight="1">
      <c r="D562" s="145"/>
      <c r="H562" s="142"/>
    </row>
    <row r="563" ht="15.75" customHeight="1">
      <c r="D563" s="145"/>
      <c r="H563" s="142"/>
    </row>
    <row r="564" ht="15.75" customHeight="1">
      <c r="D564" s="145"/>
      <c r="H564" s="142"/>
    </row>
    <row r="565" ht="15.75" customHeight="1">
      <c r="D565" s="145"/>
      <c r="H565" s="142"/>
    </row>
    <row r="566" ht="15.75" customHeight="1">
      <c r="D566" s="145"/>
      <c r="H566" s="142"/>
    </row>
    <row r="567" ht="15.75" customHeight="1">
      <c r="D567" s="145"/>
      <c r="H567" s="142"/>
    </row>
    <row r="568" ht="15.75" customHeight="1">
      <c r="D568" s="145"/>
      <c r="H568" s="142"/>
    </row>
    <row r="569" ht="15.75" customHeight="1">
      <c r="D569" s="145"/>
      <c r="H569" s="142"/>
    </row>
    <row r="570" ht="15.75" customHeight="1">
      <c r="D570" s="145"/>
      <c r="H570" s="142"/>
    </row>
    <row r="571" ht="15.75" customHeight="1">
      <c r="D571" s="145"/>
      <c r="H571" s="142"/>
    </row>
    <row r="572" ht="15.75" customHeight="1">
      <c r="D572" s="145"/>
      <c r="H572" s="142"/>
    </row>
    <row r="573" ht="15.75" customHeight="1">
      <c r="D573" s="145"/>
      <c r="H573" s="142"/>
    </row>
    <row r="574" ht="15.75" customHeight="1">
      <c r="D574" s="145"/>
      <c r="H574" s="142"/>
    </row>
    <row r="575" ht="15.75" customHeight="1">
      <c r="D575" s="145"/>
      <c r="H575" s="142"/>
    </row>
    <row r="576" ht="15.75" customHeight="1">
      <c r="D576" s="145"/>
      <c r="H576" s="142"/>
    </row>
    <row r="577" ht="15.75" customHeight="1">
      <c r="D577" s="145"/>
      <c r="H577" s="142"/>
    </row>
    <row r="578" ht="15.75" customHeight="1">
      <c r="D578" s="145"/>
      <c r="H578" s="142"/>
    </row>
    <row r="579" ht="15.75" customHeight="1">
      <c r="D579" s="145"/>
      <c r="H579" s="142"/>
    </row>
    <row r="580" ht="15.75" customHeight="1">
      <c r="D580" s="145"/>
      <c r="H580" s="142"/>
    </row>
    <row r="581" ht="15.75" customHeight="1">
      <c r="D581" s="145"/>
      <c r="H581" s="142"/>
    </row>
    <row r="582" ht="15.75" customHeight="1">
      <c r="D582" s="145"/>
      <c r="H582" s="142"/>
    </row>
    <row r="583" ht="15.75" customHeight="1">
      <c r="D583" s="145"/>
      <c r="H583" s="142"/>
    </row>
    <row r="584" ht="15.75" customHeight="1">
      <c r="D584" s="145"/>
      <c r="H584" s="142"/>
    </row>
    <row r="585" ht="15.75" customHeight="1">
      <c r="D585" s="145"/>
      <c r="H585" s="142"/>
    </row>
    <row r="586" ht="15.75" customHeight="1">
      <c r="D586" s="145"/>
      <c r="H586" s="142"/>
    </row>
    <row r="587" ht="15.75" customHeight="1">
      <c r="D587" s="145"/>
      <c r="H587" s="142"/>
    </row>
    <row r="588" ht="15.75" customHeight="1">
      <c r="D588" s="145"/>
      <c r="H588" s="142"/>
    </row>
    <row r="589" ht="15.75" customHeight="1">
      <c r="D589" s="145"/>
      <c r="H589" s="142"/>
    </row>
    <row r="590" ht="15.75" customHeight="1">
      <c r="D590" s="145"/>
      <c r="H590" s="142"/>
    </row>
    <row r="591" ht="15.75" customHeight="1">
      <c r="D591" s="145"/>
      <c r="H591" s="142"/>
    </row>
    <row r="592" ht="15.75" customHeight="1">
      <c r="D592" s="145"/>
      <c r="H592" s="142"/>
    </row>
    <row r="593" ht="15.75" customHeight="1">
      <c r="D593" s="145"/>
      <c r="H593" s="142"/>
    </row>
    <row r="594" ht="15.75" customHeight="1">
      <c r="D594" s="145"/>
      <c r="H594" s="142"/>
    </row>
    <row r="595" ht="15.75" customHeight="1">
      <c r="D595" s="145"/>
      <c r="H595" s="142"/>
    </row>
    <row r="596" ht="15.75" customHeight="1">
      <c r="D596" s="145"/>
      <c r="H596" s="142"/>
    </row>
    <row r="597" ht="15.75" customHeight="1">
      <c r="D597" s="145"/>
      <c r="H597" s="142"/>
    </row>
    <row r="598" ht="15.75" customHeight="1">
      <c r="D598" s="145"/>
      <c r="H598" s="142"/>
    </row>
    <row r="599" ht="15.75" customHeight="1">
      <c r="D599" s="145"/>
      <c r="H599" s="142"/>
    </row>
    <row r="600" ht="15.75" customHeight="1">
      <c r="D600" s="145"/>
      <c r="H600" s="142"/>
    </row>
    <row r="601" ht="15.75" customHeight="1">
      <c r="D601" s="145"/>
      <c r="H601" s="142"/>
    </row>
    <row r="602" ht="15.75" customHeight="1">
      <c r="D602" s="145"/>
      <c r="H602" s="142"/>
    </row>
    <row r="603" ht="15.75" customHeight="1">
      <c r="D603" s="145"/>
      <c r="H603" s="142"/>
    </row>
    <row r="604" ht="15.75" customHeight="1">
      <c r="D604" s="145"/>
      <c r="H604" s="142"/>
    </row>
    <row r="605" ht="15.75" customHeight="1">
      <c r="D605" s="145"/>
      <c r="H605" s="142"/>
    </row>
    <row r="606" ht="15.75" customHeight="1">
      <c r="D606" s="145"/>
      <c r="H606" s="142"/>
    </row>
    <row r="607" ht="15.75" customHeight="1">
      <c r="D607" s="145"/>
      <c r="H607" s="142"/>
    </row>
    <row r="608" ht="15.75" customHeight="1">
      <c r="D608" s="145"/>
      <c r="H608" s="142"/>
    </row>
    <row r="609" ht="15.75" customHeight="1">
      <c r="D609" s="145"/>
      <c r="H609" s="142"/>
    </row>
    <row r="610" ht="15.75" customHeight="1">
      <c r="D610" s="145"/>
      <c r="H610" s="142"/>
    </row>
    <row r="611" ht="15.75" customHeight="1">
      <c r="D611" s="145"/>
      <c r="H611" s="142"/>
    </row>
    <row r="612" ht="15.75" customHeight="1">
      <c r="D612" s="145"/>
      <c r="H612" s="142"/>
    </row>
    <row r="613" ht="15.75" customHeight="1">
      <c r="D613" s="145"/>
      <c r="H613" s="142"/>
    </row>
    <row r="614" ht="15.75" customHeight="1">
      <c r="D614" s="145"/>
      <c r="H614" s="142"/>
    </row>
    <row r="615" ht="15.75" customHeight="1">
      <c r="D615" s="145"/>
      <c r="H615" s="142"/>
    </row>
    <row r="616" ht="15.75" customHeight="1">
      <c r="D616" s="145"/>
      <c r="H616" s="142"/>
    </row>
    <row r="617" ht="15.75" customHeight="1">
      <c r="D617" s="145"/>
      <c r="H617" s="142"/>
    </row>
    <row r="618" ht="15.75" customHeight="1">
      <c r="D618" s="145"/>
      <c r="H618" s="142"/>
    </row>
    <row r="619" ht="15.75" customHeight="1">
      <c r="D619" s="145"/>
      <c r="H619" s="142"/>
    </row>
    <row r="620" ht="15.75" customHeight="1">
      <c r="D620" s="145"/>
      <c r="H620" s="142"/>
    </row>
    <row r="621" ht="15.75" customHeight="1">
      <c r="D621" s="145"/>
      <c r="H621" s="142"/>
    </row>
    <row r="622" ht="15.75" customHeight="1">
      <c r="D622" s="145"/>
      <c r="H622" s="142"/>
    </row>
    <row r="623" ht="15.75" customHeight="1">
      <c r="D623" s="145"/>
      <c r="H623" s="142"/>
    </row>
    <row r="624" ht="15.75" customHeight="1">
      <c r="D624" s="145"/>
      <c r="H624" s="142"/>
    </row>
    <row r="625" ht="15.75" customHeight="1">
      <c r="D625" s="145"/>
      <c r="H625" s="142"/>
    </row>
    <row r="626" ht="15.75" customHeight="1">
      <c r="D626" s="145"/>
      <c r="H626" s="142"/>
    </row>
    <row r="627" ht="15.75" customHeight="1">
      <c r="D627" s="145"/>
      <c r="H627" s="142"/>
    </row>
    <row r="628" ht="15.75" customHeight="1">
      <c r="D628" s="145"/>
      <c r="H628" s="142"/>
    </row>
    <row r="629" ht="15.75" customHeight="1">
      <c r="D629" s="145"/>
      <c r="H629" s="142"/>
    </row>
    <row r="630" ht="15.75" customHeight="1">
      <c r="D630" s="145"/>
      <c r="H630" s="142"/>
    </row>
    <row r="631" ht="15.75" customHeight="1">
      <c r="D631" s="145"/>
      <c r="H631" s="142"/>
    </row>
    <row r="632" ht="15.75" customHeight="1">
      <c r="D632" s="145"/>
      <c r="H632" s="142"/>
    </row>
    <row r="633" ht="15.75" customHeight="1">
      <c r="D633" s="145"/>
      <c r="H633" s="142"/>
    </row>
    <row r="634" ht="15.75" customHeight="1">
      <c r="D634" s="145"/>
      <c r="H634" s="142"/>
    </row>
    <row r="635" ht="15.75" customHeight="1">
      <c r="D635" s="145"/>
      <c r="H635" s="142"/>
    </row>
    <row r="636" ht="15.75" customHeight="1">
      <c r="D636" s="145"/>
      <c r="H636" s="142"/>
    </row>
    <row r="637" ht="15.75" customHeight="1">
      <c r="D637" s="145"/>
      <c r="H637" s="142"/>
    </row>
    <row r="638" ht="15.75" customHeight="1">
      <c r="D638" s="145"/>
      <c r="H638" s="142"/>
    </row>
    <row r="639" ht="15.75" customHeight="1">
      <c r="D639" s="145"/>
      <c r="H639" s="142"/>
    </row>
    <row r="640" ht="15.75" customHeight="1">
      <c r="D640" s="145"/>
      <c r="H640" s="142"/>
    </row>
    <row r="641" ht="15.75" customHeight="1">
      <c r="D641" s="145"/>
      <c r="H641" s="142"/>
    </row>
    <row r="642" ht="15.75" customHeight="1">
      <c r="D642" s="145"/>
      <c r="H642" s="142"/>
    </row>
    <row r="643" ht="15.75" customHeight="1">
      <c r="D643" s="145"/>
      <c r="H643" s="142"/>
    </row>
    <row r="644" ht="15.75" customHeight="1">
      <c r="D644" s="145"/>
      <c r="H644" s="142"/>
    </row>
    <row r="645" ht="15.75" customHeight="1">
      <c r="D645" s="145"/>
      <c r="H645" s="142"/>
    </row>
    <row r="646" ht="15.75" customHeight="1">
      <c r="D646" s="145"/>
      <c r="H646" s="142"/>
    </row>
    <row r="647" ht="15.75" customHeight="1">
      <c r="D647" s="145"/>
      <c r="H647" s="142"/>
    </row>
    <row r="648" ht="15.75" customHeight="1">
      <c r="D648" s="145"/>
      <c r="H648" s="142"/>
    </row>
    <row r="649" ht="15.75" customHeight="1">
      <c r="D649" s="145"/>
      <c r="H649" s="142"/>
    </row>
    <row r="650" ht="15.75" customHeight="1">
      <c r="D650" s="145"/>
      <c r="H650" s="142"/>
    </row>
    <row r="651" ht="15.75" customHeight="1">
      <c r="D651" s="145"/>
      <c r="H651" s="142"/>
    </row>
    <row r="652" ht="15.75" customHeight="1">
      <c r="D652" s="145"/>
      <c r="H652" s="142"/>
    </row>
    <row r="653" ht="15.75" customHeight="1">
      <c r="D653" s="145"/>
      <c r="H653" s="142"/>
    </row>
    <row r="654" ht="15.75" customHeight="1">
      <c r="D654" s="145"/>
      <c r="H654" s="142"/>
    </row>
    <row r="655" ht="15.75" customHeight="1">
      <c r="D655" s="145"/>
      <c r="H655" s="142"/>
    </row>
    <row r="656" ht="15.75" customHeight="1">
      <c r="D656" s="145"/>
      <c r="H656" s="142"/>
    </row>
    <row r="657" ht="15.75" customHeight="1">
      <c r="D657" s="145"/>
      <c r="H657" s="142"/>
    </row>
    <row r="658" ht="15.75" customHeight="1">
      <c r="D658" s="145"/>
      <c r="H658" s="142"/>
    </row>
    <row r="659" ht="15.75" customHeight="1">
      <c r="D659" s="145"/>
      <c r="H659" s="142"/>
    </row>
    <row r="660" ht="15.75" customHeight="1">
      <c r="D660" s="145"/>
      <c r="H660" s="142"/>
    </row>
    <row r="661" ht="15.75" customHeight="1">
      <c r="D661" s="145"/>
      <c r="H661" s="142"/>
    </row>
    <row r="662" ht="15.75" customHeight="1">
      <c r="D662" s="145"/>
      <c r="H662" s="142"/>
    </row>
    <row r="663" ht="15.75" customHeight="1">
      <c r="D663" s="145"/>
      <c r="H663" s="142"/>
    </row>
    <row r="664" ht="15.75" customHeight="1">
      <c r="D664" s="145"/>
      <c r="H664" s="142"/>
    </row>
    <row r="665" ht="15.75" customHeight="1">
      <c r="D665" s="145"/>
      <c r="H665" s="142"/>
    </row>
    <row r="666" ht="15.75" customHeight="1">
      <c r="D666" s="145"/>
      <c r="H666" s="142"/>
    </row>
    <row r="667" ht="15.75" customHeight="1">
      <c r="D667" s="145"/>
      <c r="H667" s="142"/>
    </row>
    <row r="668" ht="15.75" customHeight="1">
      <c r="D668" s="145"/>
      <c r="H668" s="142"/>
    </row>
    <row r="669" ht="15.75" customHeight="1">
      <c r="D669" s="145"/>
      <c r="H669" s="142"/>
    </row>
    <row r="670" ht="15.75" customHeight="1">
      <c r="D670" s="145"/>
      <c r="H670" s="142"/>
    </row>
    <row r="671" ht="15.75" customHeight="1">
      <c r="D671" s="145"/>
      <c r="H671" s="142"/>
    </row>
    <row r="672" ht="15.75" customHeight="1">
      <c r="D672" s="145"/>
      <c r="H672" s="142"/>
    </row>
    <row r="673" ht="15.75" customHeight="1">
      <c r="D673" s="145"/>
      <c r="H673" s="142"/>
    </row>
    <row r="674" ht="15.75" customHeight="1">
      <c r="D674" s="145"/>
      <c r="H674" s="142"/>
    </row>
    <row r="675" ht="15.75" customHeight="1">
      <c r="D675" s="145"/>
      <c r="H675" s="142"/>
    </row>
    <row r="676" ht="15.75" customHeight="1">
      <c r="D676" s="145"/>
      <c r="H676" s="142"/>
    </row>
    <row r="677" ht="15.75" customHeight="1">
      <c r="D677" s="145"/>
      <c r="H677" s="142"/>
    </row>
    <row r="678" ht="15.75" customHeight="1">
      <c r="D678" s="145"/>
      <c r="H678" s="142"/>
    </row>
    <row r="679" ht="15.75" customHeight="1">
      <c r="D679" s="145"/>
      <c r="H679" s="142"/>
    </row>
    <row r="680" ht="15.75" customHeight="1">
      <c r="D680" s="145"/>
      <c r="H680" s="142"/>
    </row>
    <row r="681" ht="15.75" customHeight="1">
      <c r="D681" s="145"/>
      <c r="H681" s="142"/>
    </row>
    <row r="682" ht="15.75" customHeight="1">
      <c r="D682" s="145"/>
      <c r="H682" s="142"/>
    </row>
    <row r="683" ht="15.75" customHeight="1">
      <c r="D683" s="145"/>
      <c r="H683" s="142"/>
    </row>
    <row r="684" ht="15.75" customHeight="1">
      <c r="D684" s="145"/>
      <c r="H684" s="142"/>
    </row>
    <row r="685" ht="15.75" customHeight="1">
      <c r="D685" s="145"/>
      <c r="H685" s="142"/>
    </row>
    <row r="686" ht="15.75" customHeight="1">
      <c r="D686" s="145"/>
      <c r="H686" s="142"/>
    </row>
    <row r="687" ht="15.75" customHeight="1">
      <c r="D687" s="145"/>
      <c r="H687" s="142"/>
    </row>
    <row r="688" ht="15.75" customHeight="1">
      <c r="D688" s="145"/>
      <c r="H688" s="142"/>
    </row>
    <row r="689" ht="15.75" customHeight="1">
      <c r="D689" s="145"/>
      <c r="H689" s="142"/>
    </row>
    <row r="690" ht="15.75" customHeight="1">
      <c r="D690" s="145"/>
      <c r="H690" s="142"/>
    </row>
    <row r="691" ht="15.75" customHeight="1">
      <c r="D691" s="145"/>
      <c r="H691" s="142"/>
    </row>
    <row r="692" ht="15.75" customHeight="1">
      <c r="D692" s="145"/>
      <c r="H692" s="142"/>
    </row>
    <row r="693" ht="15.75" customHeight="1">
      <c r="D693" s="145"/>
      <c r="H693" s="142"/>
    </row>
    <row r="694" ht="15.75" customHeight="1">
      <c r="D694" s="145"/>
      <c r="H694" s="142"/>
    </row>
    <row r="695" ht="15.75" customHeight="1">
      <c r="D695" s="145"/>
      <c r="H695" s="142"/>
    </row>
    <row r="696" ht="15.75" customHeight="1">
      <c r="D696" s="145"/>
      <c r="H696" s="142"/>
    </row>
    <row r="697" ht="15.75" customHeight="1">
      <c r="D697" s="145"/>
      <c r="H697" s="142"/>
    </row>
    <row r="698" ht="15.75" customHeight="1">
      <c r="D698" s="145"/>
      <c r="H698" s="142"/>
    </row>
    <row r="699" ht="15.75" customHeight="1">
      <c r="D699" s="145"/>
      <c r="H699" s="142"/>
    </row>
    <row r="700" ht="15.75" customHeight="1">
      <c r="D700" s="145"/>
      <c r="H700" s="142"/>
    </row>
    <row r="701" ht="15.75" customHeight="1">
      <c r="D701" s="145"/>
      <c r="H701" s="142"/>
    </row>
    <row r="702" ht="15.75" customHeight="1">
      <c r="D702" s="145"/>
      <c r="H702" s="142"/>
    </row>
    <row r="703" ht="15.75" customHeight="1">
      <c r="D703" s="145"/>
      <c r="H703" s="142"/>
    </row>
    <row r="704" ht="15.75" customHeight="1">
      <c r="D704" s="145"/>
      <c r="H704" s="142"/>
    </row>
    <row r="705" ht="15.75" customHeight="1">
      <c r="D705" s="145"/>
      <c r="H705" s="142"/>
    </row>
    <row r="706" ht="15.75" customHeight="1">
      <c r="D706" s="145"/>
      <c r="H706" s="142"/>
    </row>
    <row r="707" ht="15.75" customHeight="1">
      <c r="D707" s="145"/>
      <c r="H707" s="142"/>
    </row>
    <row r="708" ht="15.75" customHeight="1">
      <c r="D708" s="145"/>
      <c r="H708" s="142"/>
    </row>
    <row r="709" ht="15.75" customHeight="1">
      <c r="D709" s="145"/>
      <c r="H709" s="142"/>
    </row>
    <row r="710" ht="15.75" customHeight="1">
      <c r="D710" s="145"/>
      <c r="H710" s="142"/>
    </row>
    <row r="711" ht="15.75" customHeight="1">
      <c r="D711" s="145"/>
      <c r="H711" s="142"/>
    </row>
    <row r="712" ht="15.75" customHeight="1">
      <c r="D712" s="145"/>
      <c r="H712" s="142"/>
    </row>
    <row r="713" ht="15.75" customHeight="1">
      <c r="D713" s="145"/>
      <c r="H713" s="142"/>
    </row>
    <row r="714" ht="15.75" customHeight="1">
      <c r="D714" s="145"/>
      <c r="H714" s="142"/>
    </row>
    <row r="715" ht="15.75" customHeight="1">
      <c r="D715" s="145"/>
      <c r="H715" s="142"/>
    </row>
    <row r="716" ht="15.75" customHeight="1">
      <c r="D716" s="145"/>
      <c r="H716" s="142"/>
    </row>
    <row r="717" ht="15.75" customHeight="1">
      <c r="D717" s="145"/>
      <c r="H717" s="142"/>
    </row>
    <row r="718" ht="15.75" customHeight="1">
      <c r="D718" s="145"/>
      <c r="H718" s="142"/>
    </row>
    <row r="719" ht="15.75" customHeight="1">
      <c r="D719" s="145"/>
      <c r="H719" s="142"/>
    </row>
    <row r="720" ht="15.75" customHeight="1">
      <c r="D720" s="145"/>
      <c r="H720" s="142"/>
    </row>
    <row r="721" ht="15.75" customHeight="1">
      <c r="D721" s="145"/>
      <c r="H721" s="142"/>
    </row>
    <row r="722" ht="15.75" customHeight="1">
      <c r="D722" s="145"/>
      <c r="H722" s="142"/>
    </row>
    <row r="723" ht="15.75" customHeight="1">
      <c r="D723" s="145"/>
      <c r="H723" s="142"/>
    </row>
    <row r="724" ht="15.75" customHeight="1">
      <c r="D724" s="145"/>
      <c r="H724" s="142"/>
    </row>
    <row r="725" ht="15.75" customHeight="1">
      <c r="D725" s="145"/>
      <c r="H725" s="142"/>
    </row>
    <row r="726" ht="15.75" customHeight="1">
      <c r="D726" s="145"/>
      <c r="H726" s="142"/>
    </row>
    <row r="727" ht="15.75" customHeight="1">
      <c r="D727" s="145"/>
      <c r="H727" s="142"/>
    </row>
    <row r="728" ht="15.75" customHeight="1">
      <c r="D728" s="145"/>
      <c r="H728" s="142"/>
    </row>
    <row r="729" ht="15.75" customHeight="1">
      <c r="D729" s="145"/>
      <c r="H729" s="142"/>
    </row>
    <row r="730" ht="15.75" customHeight="1">
      <c r="D730" s="145"/>
      <c r="H730" s="142"/>
    </row>
    <row r="731" ht="15.75" customHeight="1">
      <c r="D731" s="145"/>
      <c r="H731" s="142"/>
    </row>
    <row r="732" ht="15.75" customHeight="1">
      <c r="D732" s="145"/>
      <c r="H732" s="142"/>
    </row>
    <row r="733" ht="15.75" customHeight="1">
      <c r="D733" s="145"/>
      <c r="H733" s="142"/>
    </row>
    <row r="734" ht="15.75" customHeight="1">
      <c r="D734" s="145"/>
      <c r="H734" s="142"/>
    </row>
    <row r="735" ht="15.75" customHeight="1">
      <c r="D735" s="145"/>
      <c r="H735" s="142"/>
    </row>
    <row r="736" ht="15.75" customHeight="1">
      <c r="D736" s="145"/>
      <c r="H736" s="142"/>
    </row>
    <row r="737" ht="15.75" customHeight="1">
      <c r="D737" s="145"/>
      <c r="H737" s="142"/>
    </row>
    <row r="738" ht="15.75" customHeight="1">
      <c r="D738" s="145"/>
      <c r="H738" s="142"/>
    </row>
    <row r="739" ht="15.75" customHeight="1">
      <c r="D739" s="145"/>
      <c r="H739" s="142"/>
    </row>
    <row r="740" ht="15.75" customHeight="1">
      <c r="D740" s="145"/>
      <c r="H740" s="142"/>
    </row>
    <row r="741" ht="15.75" customHeight="1">
      <c r="D741" s="145"/>
      <c r="H741" s="142"/>
    </row>
    <row r="742" ht="15.75" customHeight="1">
      <c r="D742" s="145"/>
      <c r="H742" s="142"/>
    </row>
    <row r="743" ht="15.75" customHeight="1">
      <c r="D743" s="145"/>
      <c r="H743" s="142"/>
    </row>
    <row r="744" ht="15.75" customHeight="1">
      <c r="D744" s="145"/>
      <c r="H744" s="142"/>
    </row>
    <row r="745" ht="15.75" customHeight="1">
      <c r="D745" s="145"/>
      <c r="H745" s="142"/>
    </row>
    <row r="746" ht="15.75" customHeight="1">
      <c r="D746" s="145"/>
      <c r="H746" s="142"/>
    </row>
    <row r="747" ht="15.75" customHeight="1">
      <c r="D747" s="145"/>
      <c r="H747" s="142"/>
    </row>
    <row r="748" ht="15.75" customHeight="1">
      <c r="D748" s="145"/>
      <c r="H748" s="142"/>
    </row>
    <row r="749" ht="15.75" customHeight="1">
      <c r="D749" s="145"/>
      <c r="H749" s="142"/>
    </row>
    <row r="750" ht="15.75" customHeight="1">
      <c r="D750" s="145"/>
      <c r="H750" s="142"/>
    </row>
    <row r="751" ht="15.75" customHeight="1">
      <c r="D751" s="145"/>
      <c r="H751" s="142"/>
    </row>
    <row r="752" ht="15.75" customHeight="1">
      <c r="D752" s="145"/>
      <c r="H752" s="142"/>
    </row>
    <row r="753" ht="15.75" customHeight="1">
      <c r="D753" s="145"/>
      <c r="H753" s="142"/>
    </row>
    <row r="754" ht="15.75" customHeight="1">
      <c r="D754" s="145"/>
      <c r="H754" s="142"/>
    </row>
    <row r="755" ht="15.75" customHeight="1">
      <c r="D755" s="145"/>
      <c r="H755" s="142"/>
    </row>
    <row r="756" ht="15.75" customHeight="1">
      <c r="D756" s="145"/>
      <c r="H756" s="142"/>
    </row>
    <row r="757" ht="15.75" customHeight="1">
      <c r="D757" s="145"/>
      <c r="H757" s="142"/>
    </row>
    <row r="758" ht="15.75" customHeight="1">
      <c r="D758" s="145"/>
      <c r="H758" s="142"/>
    </row>
    <row r="759" ht="15.75" customHeight="1">
      <c r="D759" s="145"/>
      <c r="H759" s="142"/>
    </row>
    <row r="760" ht="15.75" customHeight="1">
      <c r="D760" s="145"/>
      <c r="H760" s="142"/>
    </row>
    <row r="761" ht="15.75" customHeight="1">
      <c r="D761" s="145"/>
      <c r="H761" s="142"/>
    </row>
    <row r="762" ht="15.75" customHeight="1">
      <c r="D762" s="145"/>
      <c r="H762" s="142"/>
    </row>
    <row r="763" ht="15.75" customHeight="1">
      <c r="D763" s="145"/>
      <c r="H763" s="142"/>
    </row>
    <row r="764" ht="15.75" customHeight="1">
      <c r="D764" s="145"/>
      <c r="H764" s="142"/>
    </row>
    <row r="765" ht="15.75" customHeight="1">
      <c r="D765" s="145"/>
      <c r="H765" s="142"/>
    </row>
    <row r="766" ht="15.75" customHeight="1">
      <c r="D766" s="145"/>
      <c r="H766" s="142"/>
    </row>
    <row r="767" ht="15.75" customHeight="1">
      <c r="D767" s="145"/>
      <c r="H767" s="142"/>
    </row>
    <row r="768" ht="15.75" customHeight="1">
      <c r="D768" s="145"/>
      <c r="H768" s="142"/>
    </row>
    <row r="769" ht="15.75" customHeight="1">
      <c r="D769" s="145"/>
      <c r="H769" s="142"/>
    </row>
    <row r="770" ht="15.75" customHeight="1">
      <c r="D770" s="145"/>
      <c r="H770" s="142"/>
    </row>
    <row r="771" ht="15.75" customHeight="1">
      <c r="D771" s="145"/>
      <c r="H771" s="142"/>
    </row>
    <row r="772" ht="15.75" customHeight="1">
      <c r="D772" s="145"/>
      <c r="H772" s="142"/>
    </row>
    <row r="773" ht="15.75" customHeight="1">
      <c r="D773" s="145"/>
      <c r="H773" s="142"/>
    </row>
    <row r="774" ht="15.75" customHeight="1">
      <c r="D774" s="145"/>
      <c r="H774" s="142"/>
    </row>
    <row r="775" ht="15.75" customHeight="1">
      <c r="D775" s="145"/>
      <c r="H775" s="142"/>
    </row>
    <row r="776" ht="15.75" customHeight="1">
      <c r="D776" s="145"/>
      <c r="H776" s="142"/>
    </row>
    <row r="777" ht="15.75" customHeight="1">
      <c r="D777" s="145"/>
      <c r="H777" s="142"/>
    </row>
    <row r="778" ht="15.75" customHeight="1">
      <c r="D778" s="145"/>
      <c r="H778" s="142"/>
    </row>
    <row r="779" ht="15.75" customHeight="1">
      <c r="D779" s="145"/>
      <c r="H779" s="142"/>
    </row>
    <row r="780" ht="15.75" customHeight="1">
      <c r="D780" s="145"/>
      <c r="H780" s="142"/>
    </row>
    <row r="781" ht="15.75" customHeight="1">
      <c r="D781" s="145"/>
      <c r="H781" s="142"/>
    </row>
    <row r="782" ht="15.75" customHeight="1">
      <c r="D782" s="145"/>
      <c r="H782" s="142"/>
    </row>
    <row r="783" ht="15.75" customHeight="1">
      <c r="D783" s="145"/>
      <c r="H783" s="142"/>
    </row>
    <row r="784" ht="15.75" customHeight="1">
      <c r="D784" s="145"/>
      <c r="H784" s="142"/>
    </row>
    <row r="785" ht="15.75" customHeight="1">
      <c r="D785" s="145"/>
      <c r="H785" s="142"/>
    </row>
    <row r="786" ht="15.75" customHeight="1">
      <c r="D786" s="145"/>
      <c r="H786" s="142"/>
    </row>
    <row r="787" ht="15.75" customHeight="1">
      <c r="D787" s="145"/>
      <c r="H787" s="142"/>
    </row>
    <row r="788" ht="15.75" customHeight="1">
      <c r="D788" s="145"/>
      <c r="H788" s="142"/>
    </row>
    <row r="789" ht="15.75" customHeight="1">
      <c r="D789" s="145"/>
      <c r="H789" s="142"/>
    </row>
    <row r="790" ht="15.75" customHeight="1">
      <c r="D790" s="145"/>
      <c r="H790" s="142"/>
    </row>
    <row r="791" ht="15.75" customHeight="1">
      <c r="D791" s="145"/>
      <c r="H791" s="142"/>
    </row>
    <row r="792" ht="15.75" customHeight="1">
      <c r="D792" s="145"/>
      <c r="H792" s="142"/>
    </row>
    <row r="793" ht="15.75" customHeight="1">
      <c r="D793" s="145"/>
      <c r="H793" s="142"/>
    </row>
    <row r="794" ht="15.75" customHeight="1">
      <c r="D794" s="145"/>
      <c r="H794" s="142"/>
    </row>
    <row r="795" ht="15.75" customHeight="1">
      <c r="D795" s="145"/>
      <c r="H795" s="142"/>
    </row>
    <row r="796" ht="15.75" customHeight="1">
      <c r="D796" s="145"/>
      <c r="H796" s="142"/>
    </row>
    <row r="797" ht="15.75" customHeight="1">
      <c r="D797" s="145"/>
      <c r="H797" s="142"/>
    </row>
    <row r="798" ht="15.75" customHeight="1">
      <c r="D798" s="145"/>
      <c r="H798" s="142"/>
    </row>
    <row r="799" ht="15.75" customHeight="1">
      <c r="D799" s="145"/>
      <c r="H799" s="142"/>
    </row>
    <row r="800" ht="15.75" customHeight="1">
      <c r="D800" s="145"/>
      <c r="H800" s="142"/>
    </row>
    <row r="801" ht="15.75" customHeight="1">
      <c r="D801" s="145"/>
      <c r="H801" s="142"/>
    </row>
    <row r="802" ht="15.75" customHeight="1">
      <c r="D802" s="145"/>
      <c r="H802" s="142"/>
    </row>
    <row r="803" ht="15.75" customHeight="1">
      <c r="D803" s="145"/>
      <c r="H803" s="142"/>
    </row>
    <row r="804" ht="15.75" customHeight="1">
      <c r="D804" s="145"/>
      <c r="H804" s="142"/>
    </row>
    <row r="805" ht="15.75" customHeight="1">
      <c r="D805" s="145"/>
      <c r="H805" s="142"/>
    </row>
    <row r="806" ht="15.75" customHeight="1">
      <c r="D806" s="145"/>
      <c r="H806" s="142"/>
    </row>
    <row r="807" ht="15.75" customHeight="1">
      <c r="D807" s="145"/>
      <c r="H807" s="142"/>
    </row>
    <row r="808" ht="15.75" customHeight="1">
      <c r="D808" s="145"/>
      <c r="H808" s="142"/>
    </row>
    <row r="809" ht="15.75" customHeight="1">
      <c r="D809" s="145"/>
      <c r="H809" s="142"/>
    </row>
    <row r="810" ht="15.75" customHeight="1">
      <c r="D810" s="145"/>
      <c r="H810" s="142"/>
    </row>
    <row r="811" ht="15.75" customHeight="1">
      <c r="D811" s="145"/>
      <c r="H811" s="142"/>
    </row>
    <row r="812" ht="15.75" customHeight="1">
      <c r="D812" s="145"/>
      <c r="H812" s="142"/>
    </row>
    <row r="813" ht="15.75" customHeight="1">
      <c r="D813" s="145"/>
      <c r="H813" s="142"/>
    </row>
    <row r="814" ht="15.75" customHeight="1">
      <c r="D814" s="145"/>
      <c r="H814" s="142"/>
    </row>
    <row r="815" ht="15.75" customHeight="1">
      <c r="D815" s="145"/>
      <c r="H815" s="142"/>
    </row>
    <row r="816" ht="15.75" customHeight="1">
      <c r="D816" s="145"/>
      <c r="H816" s="142"/>
    </row>
    <row r="817" ht="15.75" customHeight="1">
      <c r="D817" s="145"/>
      <c r="H817" s="142"/>
    </row>
    <row r="818" ht="15.75" customHeight="1">
      <c r="D818" s="145"/>
      <c r="H818" s="142"/>
    </row>
    <row r="819" ht="15.75" customHeight="1">
      <c r="D819" s="145"/>
      <c r="H819" s="142"/>
    </row>
    <row r="820" ht="15.75" customHeight="1">
      <c r="D820" s="145"/>
      <c r="H820" s="142"/>
    </row>
    <row r="821" ht="15.75" customHeight="1">
      <c r="D821" s="145"/>
      <c r="H821" s="142"/>
    </row>
    <row r="822" ht="15.75" customHeight="1">
      <c r="D822" s="145"/>
      <c r="H822" s="142"/>
    </row>
    <row r="823" ht="15.75" customHeight="1">
      <c r="D823" s="145"/>
      <c r="H823" s="142"/>
    </row>
    <row r="824" ht="15.75" customHeight="1">
      <c r="D824" s="145"/>
      <c r="H824" s="142"/>
    </row>
    <row r="825" ht="15.75" customHeight="1">
      <c r="D825" s="145"/>
      <c r="H825" s="142"/>
    </row>
    <row r="826" ht="15.75" customHeight="1">
      <c r="D826" s="145"/>
      <c r="H826" s="142"/>
    </row>
    <row r="827" ht="15.75" customHeight="1">
      <c r="D827" s="145"/>
      <c r="H827" s="142"/>
    </row>
    <row r="828" ht="15.75" customHeight="1">
      <c r="D828" s="145"/>
      <c r="H828" s="142"/>
    </row>
    <row r="829" ht="15.75" customHeight="1">
      <c r="D829" s="145"/>
      <c r="H829" s="142"/>
    </row>
    <row r="830" ht="15.75" customHeight="1">
      <c r="D830" s="145"/>
      <c r="H830" s="142"/>
    </row>
    <row r="831" ht="15.75" customHeight="1">
      <c r="D831" s="145"/>
      <c r="H831" s="142"/>
    </row>
    <row r="832" ht="15.75" customHeight="1">
      <c r="D832" s="145"/>
      <c r="H832" s="142"/>
    </row>
    <row r="833" ht="15.75" customHeight="1">
      <c r="D833" s="145"/>
      <c r="H833" s="142"/>
    </row>
    <row r="834" ht="15.75" customHeight="1">
      <c r="D834" s="145"/>
      <c r="H834" s="142"/>
    </row>
    <row r="835" ht="15.75" customHeight="1">
      <c r="D835" s="145"/>
      <c r="H835" s="142"/>
    </row>
    <row r="836" ht="15.75" customHeight="1">
      <c r="D836" s="145"/>
      <c r="H836" s="142"/>
    </row>
    <row r="837" ht="15.75" customHeight="1">
      <c r="D837" s="145"/>
      <c r="H837" s="142"/>
    </row>
    <row r="838" ht="15.75" customHeight="1">
      <c r="D838" s="145"/>
      <c r="H838" s="142"/>
    </row>
    <row r="839" ht="15.75" customHeight="1">
      <c r="D839" s="145"/>
      <c r="H839" s="142"/>
    </row>
    <row r="840" ht="15.75" customHeight="1">
      <c r="D840" s="145"/>
      <c r="H840" s="142"/>
    </row>
    <row r="841" ht="15.75" customHeight="1">
      <c r="D841" s="145"/>
      <c r="H841" s="142"/>
    </row>
    <row r="842" ht="15.75" customHeight="1">
      <c r="D842" s="145"/>
      <c r="H842" s="142"/>
    </row>
    <row r="843" ht="15.75" customHeight="1">
      <c r="D843" s="145"/>
      <c r="H843" s="142"/>
    </row>
    <row r="844" ht="15.75" customHeight="1">
      <c r="D844" s="145"/>
      <c r="H844" s="142"/>
    </row>
    <row r="845" ht="15.75" customHeight="1">
      <c r="D845" s="145"/>
      <c r="H845" s="142"/>
    </row>
    <row r="846" ht="15.75" customHeight="1">
      <c r="D846" s="145"/>
      <c r="H846" s="142"/>
    </row>
    <row r="847" ht="15.75" customHeight="1">
      <c r="D847" s="145"/>
      <c r="H847" s="142"/>
    </row>
    <row r="848" ht="15.75" customHeight="1">
      <c r="D848" s="145"/>
      <c r="H848" s="142"/>
    </row>
    <row r="849" ht="15.75" customHeight="1">
      <c r="D849" s="145"/>
      <c r="H849" s="142"/>
    </row>
    <row r="850" ht="15.75" customHeight="1">
      <c r="D850" s="145"/>
      <c r="H850" s="142"/>
    </row>
    <row r="851" ht="15.75" customHeight="1">
      <c r="D851" s="145"/>
      <c r="H851" s="142"/>
    </row>
    <row r="852" ht="15.75" customHeight="1">
      <c r="D852" s="145"/>
      <c r="H852" s="142"/>
    </row>
    <row r="853" ht="15.75" customHeight="1">
      <c r="D853" s="145"/>
      <c r="H853" s="142"/>
    </row>
    <row r="854" ht="15.75" customHeight="1">
      <c r="D854" s="145"/>
      <c r="H854" s="142"/>
    </row>
    <row r="855" ht="15.75" customHeight="1">
      <c r="D855" s="145"/>
      <c r="H855" s="142"/>
    </row>
    <row r="856" ht="15.75" customHeight="1">
      <c r="D856" s="145"/>
      <c r="H856" s="142"/>
    </row>
    <row r="857" ht="15.75" customHeight="1">
      <c r="D857" s="145"/>
      <c r="H857" s="142"/>
    </row>
    <row r="858" ht="15.75" customHeight="1">
      <c r="D858" s="145"/>
      <c r="H858" s="142"/>
    </row>
    <row r="859" ht="15.75" customHeight="1">
      <c r="D859" s="145"/>
      <c r="H859" s="142"/>
    </row>
    <row r="860" ht="15.75" customHeight="1">
      <c r="D860" s="145"/>
      <c r="H860" s="142"/>
    </row>
    <row r="861" ht="15.75" customHeight="1">
      <c r="D861" s="145"/>
      <c r="H861" s="142"/>
    </row>
    <row r="862" ht="15.75" customHeight="1">
      <c r="D862" s="145"/>
      <c r="H862" s="142"/>
    </row>
    <row r="863" ht="15.75" customHeight="1">
      <c r="D863" s="145"/>
      <c r="H863" s="142"/>
    </row>
    <row r="864" ht="15.75" customHeight="1">
      <c r="D864" s="145"/>
      <c r="H864" s="142"/>
    </row>
    <row r="865" ht="15.75" customHeight="1">
      <c r="D865" s="145"/>
      <c r="H865" s="142"/>
    </row>
    <row r="866" ht="15.75" customHeight="1">
      <c r="D866" s="145"/>
      <c r="H866" s="142"/>
    </row>
    <row r="867" ht="15.75" customHeight="1">
      <c r="D867" s="145"/>
      <c r="H867" s="142"/>
    </row>
    <row r="868" ht="15.75" customHeight="1">
      <c r="D868" s="145"/>
      <c r="H868" s="142"/>
    </row>
    <row r="869" ht="15.75" customHeight="1">
      <c r="D869" s="145"/>
      <c r="H869" s="142"/>
    </row>
    <row r="870" ht="15.75" customHeight="1">
      <c r="D870" s="145"/>
      <c r="H870" s="142"/>
    </row>
    <row r="871" ht="15.75" customHeight="1">
      <c r="D871" s="145"/>
      <c r="H871" s="142"/>
    </row>
    <row r="872" ht="15.75" customHeight="1">
      <c r="D872" s="145"/>
      <c r="H872" s="142"/>
    </row>
    <row r="873" ht="15.75" customHeight="1">
      <c r="D873" s="145"/>
      <c r="H873" s="142"/>
    </row>
    <row r="874" ht="15.75" customHeight="1">
      <c r="D874" s="145"/>
      <c r="H874" s="142"/>
    </row>
    <row r="875" ht="15.75" customHeight="1">
      <c r="D875" s="145"/>
      <c r="H875" s="142"/>
    </row>
    <row r="876" ht="15.75" customHeight="1">
      <c r="D876" s="145"/>
      <c r="H876" s="142"/>
    </row>
    <row r="877" ht="15.75" customHeight="1">
      <c r="D877" s="145"/>
      <c r="H877" s="142"/>
    </row>
    <row r="878" ht="15.75" customHeight="1">
      <c r="D878" s="145"/>
      <c r="H878" s="142"/>
    </row>
    <row r="879" ht="15.75" customHeight="1">
      <c r="D879" s="145"/>
      <c r="H879" s="142"/>
    </row>
    <row r="880" ht="15.75" customHeight="1">
      <c r="D880" s="145"/>
      <c r="H880" s="142"/>
    </row>
    <row r="881" ht="15.75" customHeight="1">
      <c r="D881" s="145"/>
      <c r="H881" s="142"/>
    </row>
    <row r="882" ht="15.75" customHeight="1">
      <c r="D882" s="145"/>
      <c r="H882" s="142"/>
    </row>
    <row r="883" ht="15.75" customHeight="1">
      <c r="D883" s="145"/>
      <c r="H883" s="142"/>
    </row>
    <row r="884" ht="15.75" customHeight="1">
      <c r="D884" s="145"/>
      <c r="H884" s="142"/>
    </row>
    <row r="885" ht="15.75" customHeight="1">
      <c r="D885" s="145"/>
      <c r="H885" s="142"/>
    </row>
    <row r="886" ht="15.75" customHeight="1">
      <c r="D886" s="145"/>
      <c r="H886" s="142"/>
    </row>
    <row r="887" ht="15.75" customHeight="1">
      <c r="D887" s="145"/>
      <c r="H887" s="142"/>
    </row>
    <row r="888" ht="15.75" customHeight="1">
      <c r="D888" s="145"/>
      <c r="H888" s="142"/>
    </row>
    <row r="889" ht="15.75" customHeight="1">
      <c r="D889" s="145"/>
      <c r="H889" s="142"/>
    </row>
    <row r="890" ht="15.75" customHeight="1">
      <c r="D890" s="145"/>
      <c r="H890" s="142"/>
    </row>
    <row r="891" ht="15.75" customHeight="1">
      <c r="D891" s="145"/>
      <c r="H891" s="142"/>
    </row>
    <row r="892" ht="15.75" customHeight="1">
      <c r="D892" s="145"/>
      <c r="H892" s="142"/>
    </row>
    <row r="893" ht="15.75" customHeight="1">
      <c r="D893" s="145"/>
      <c r="H893" s="142"/>
    </row>
    <row r="894" ht="15.75" customHeight="1">
      <c r="D894" s="145"/>
      <c r="H894" s="142"/>
    </row>
    <row r="895" ht="15.75" customHeight="1">
      <c r="D895" s="145"/>
      <c r="H895" s="142"/>
    </row>
    <row r="896" ht="15.75" customHeight="1">
      <c r="D896" s="145"/>
      <c r="H896" s="142"/>
    </row>
    <row r="897" ht="15.75" customHeight="1">
      <c r="D897" s="145"/>
      <c r="H897" s="142"/>
    </row>
    <row r="898" ht="15.75" customHeight="1">
      <c r="D898" s="145"/>
      <c r="H898" s="142"/>
    </row>
    <row r="899" ht="15.75" customHeight="1">
      <c r="D899" s="145"/>
      <c r="H899" s="142"/>
    </row>
    <row r="900" ht="15.75" customHeight="1">
      <c r="D900" s="145"/>
      <c r="H900" s="142"/>
    </row>
    <row r="901" ht="15.75" customHeight="1">
      <c r="D901" s="145"/>
      <c r="H901" s="142"/>
    </row>
    <row r="902" ht="15.75" customHeight="1">
      <c r="D902" s="145"/>
      <c r="H902" s="142"/>
    </row>
    <row r="903" ht="15.75" customHeight="1">
      <c r="D903" s="145"/>
      <c r="H903" s="142"/>
    </row>
    <row r="904" ht="15.75" customHeight="1">
      <c r="D904" s="145"/>
      <c r="H904" s="142"/>
    </row>
    <row r="905" ht="15.75" customHeight="1">
      <c r="D905" s="145"/>
      <c r="H905" s="142"/>
    </row>
    <row r="906" ht="15.75" customHeight="1">
      <c r="D906" s="145"/>
      <c r="H906" s="142"/>
    </row>
    <row r="907" ht="15.75" customHeight="1">
      <c r="D907" s="145"/>
      <c r="H907" s="142"/>
    </row>
    <row r="908" ht="15.75" customHeight="1">
      <c r="D908" s="145"/>
      <c r="H908" s="142"/>
    </row>
    <row r="909" ht="15.75" customHeight="1">
      <c r="D909" s="145"/>
      <c r="H909" s="142"/>
    </row>
    <row r="910" ht="15.75" customHeight="1">
      <c r="D910" s="145"/>
      <c r="H910" s="142"/>
    </row>
    <row r="911" ht="15.75" customHeight="1">
      <c r="D911" s="145"/>
      <c r="H911" s="142"/>
    </row>
    <row r="912" ht="15.75" customHeight="1">
      <c r="D912" s="145"/>
      <c r="H912" s="142"/>
    </row>
    <row r="913" ht="15.75" customHeight="1">
      <c r="D913" s="145"/>
      <c r="H913" s="142"/>
    </row>
    <row r="914" ht="15.75" customHeight="1">
      <c r="D914" s="145"/>
      <c r="H914" s="142"/>
    </row>
    <row r="915" ht="15.75" customHeight="1">
      <c r="D915" s="145"/>
      <c r="H915" s="142"/>
    </row>
    <row r="916" ht="15.75" customHeight="1">
      <c r="D916" s="145"/>
      <c r="H916" s="142"/>
    </row>
    <row r="917" ht="15.75" customHeight="1">
      <c r="D917" s="145"/>
      <c r="H917" s="142"/>
    </row>
    <row r="918" ht="15.75" customHeight="1">
      <c r="D918" s="145"/>
      <c r="H918" s="142"/>
    </row>
    <row r="919" ht="15.75" customHeight="1">
      <c r="D919" s="145"/>
      <c r="H919" s="142"/>
    </row>
    <row r="920" ht="15.75" customHeight="1">
      <c r="D920" s="145"/>
      <c r="H920" s="142"/>
    </row>
    <row r="921" ht="15.75" customHeight="1">
      <c r="D921" s="145"/>
      <c r="H921" s="142"/>
    </row>
    <row r="922" ht="15.75" customHeight="1">
      <c r="D922" s="145"/>
      <c r="H922" s="142"/>
    </row>
    <row r="923" ht="15.75" customHeight="1">
      <c r="D923" s="145"/>
      <c r="H923" s="142"/>
    </row>
    <row r="924" ht="15.75" customHeight="1">
      <c r="D924" s="145"/>
      <c r="H924" s="142"/>
    </row>
    <row r="925" ht="15.75" customHeight="1">
      <c r="D925" s="145"/>
      <c r="H925" s="142"/>
    </row>
    <row r="926" ht="15.75" customHeight="1">
      <c r="D926" s="145"/>
      <c r="H926" s="142"/>
    </row>
    <row r="927" ht="15.75" customHeight="1">
      <c r="D927" s="145"/>
      <c r="H927" s="142"/>
    </row>
    <row r="928" ht="15.75" customHeight="1">
      <c r="D928" s="145"/>
      <c r="H928" s="142"/>
    </row>
    <row r="929" ht="15.75" customHeight="1">
      <c r="D929" s="145"/>
      <c r="H929" s="142"/>
    </row>
    <row r="930" ht="15.75" customHeight="1">
      <c r="D930" s="145"/>
      <c r="H930" s="142"/>
    </row>
    <row r="931" ht="15.75" customHeight="1">
      <c r="D931" s="145"/>
      <c r="H931" s="142"/>
    </row>
    <row r="932" ht="15.75" customHeight="1">
      <c r="D932" s="145"/>
      <c r="H932" s="142"/>
    </row>
    <row r="933" ht="15.75" customHeight="1">
      <c r="D933" s="145"/>
      <c r="H933" s="142"/>
    </row>
    <row r="934" ht="15.75" customHeight="1">
      <c r="D934" s="145"/>
      <c r="H934" s="142"/>
    </row>
    <row r="935" ht="15.75" customHeight="1">
      <c r="D935" s="145"/>
      <c r="H935" s="142"/>
    </row>
    <row r="936" ht="15.75" customHeight="1">
      <c r="D936" s="145"/>
      <c r="H936" s="142"/>
    </row>
    <row r="937" ht="15.75" customHeight="1">
      <c r="D937" s="145"/>
      <c r="H937" s="142"/>
    </row>
    <row r="938" ht="15.75" customHeight="1">
      <c r="D938" s="145"/>
      <c r="H938" s="142"/>
    </row>
    <row r="939" ht="15.75" customHeight="1">
      <c r="D939" s="145"/>
      <c r="H939" s="142"/>
    </row>
    <row r="940" ht="15.75" customHeight="1">
      <c r="D940" s="145"/>
      <c r="H940" s="142"/>
    </row>
    <row r="941" ht="15.75" customHeight="1">
      <c r="D941" s="145"/>
      <c r="H941" s="142"/>
    </row>
    <row r="942" ht="15.75" customHeight="1">
      <c r="D942" s="145"/>
      <c r="H942" s="142"/>
    </row>
    <row r="943" ht="15.75" customHeight="1">
      <c r="D943" s="145"/>
      <c r="H943" s="142"/>
    </row>
    <row r="944" ht="15.75" customHeight="1">
      <c r="D944" s="145"/>
      <c r="H944" s="142"/>
    </row>
    <row r="945" ht="15.75" customHeight="1">
      <c r="D945" s="145"/>
      <c r="H945" s="142"/>
    </row>
    <row r="946" ht="15.75" customHeight="1">
      <c r="D946" s="145"/>
      <c r="H946" s="142"/>
    </row>
    <row r="947" ht="15.75" customHeight="1">
      <c r="D947" s="145"/>
      <c r="H947" s="142"/>
    </row>
    <row r="948" ht="15.75" customHeight="1">
      <c r="D948" s="145"/>
      <c r="H948" s="142"/>
    </row>
    <row r="949" ht="15.75" customHeight="1">
      <c r="D949" s="145"/>
      <c r="H949" s="142"/>
    </row>
    <row r="950" ht="15.75" customHeight="1">
      <c r="D950" s="145"/>
      <c r="H950" s="142"/>
    </row>
    <row r="951" ht="15.75" customHeight="1">
      <c r="D951" s="145"/>
      <c r="H951" s="142"/>
    </row>
    <row r="952" ht="15.75" customHeight="1">
      <c r="D952" s="145"/>
      <c r="H952" s="142"/>
    </row>
    <row r="953" ht="15.75" customHeight="1">
      <c r="D953" s="145"/>
      <c r="H953" s="142"/>
    </row>
    <row r="954" ht="15.75" customHeight="1">
      <c r="D954" s="145"/>
      <c r="H954" s="142"/>
    </row>
    <row r="955" ht="15.75" customHeight="1">
      <c r="D955" s="145"/>
      <c r="H955" s="142"/>
    </row>
    <row r="956" ht="15.75" customHeight="1">
      <c r="D956" s="145"/>
      <c r="H956" s="142"/>
    </row>
    <row r="957" ht="15.75" customHeight="1">
      <c r="D957" s="145"/>
      <c r="H957" s="142"/>
    </row>
    <row r="958" ht="15.75" customHeight="1">
      <c r="D958" s="145"/>
      <c r="H958" s="142"/>
    </row>
    <row r="959" ht="15.75" customHeight="1">
      <c r="D959" s="145"/>
      <c r="H959" s="142"/>
    </row>
    <row r="960" ht="15.75" customHeight="1">
      <c r="D960" s="145"/>
      <c r="H960" s="142"/>
    </row>
    <row r="961" ht="15.75" customHeight="1">
      <c r="D961" s="145"/>
      <c r="H961" s="142"/>
    </row>
    <row r="962" ht="15.75" customHeight="1">
      <c r="D962" s="145"/>
      <c r="H962" s="142"/>
    </row>
    <row r="963" ht="15.75" customHeight="1">
      <c r="D963" s="145"/>
      <c r="H963" s="142"/>
    </row>
    <row r="964" ht="15.75" customHeight="1">
      <c r="D964" s="145"/>
      <c r="H964" s="142"/>
    </row>
    <row r="965" ht="15.75" customHeight="1">
      <c r="D965" s="145"/>
      <c r="H965" s="142"/>
    </row>
    <row r="966" ht="15.75" customHeight="1">
      <c r="D966" s="145"/>
      <c r="H966" s="142"/>
    </row>
    <row r="967" ht="15.75" customHeight="1">
      <c r="D967" s="145"/>
      <c r="H967" s="142"/>
    </row>
    <row r="968" ht="15.75" customHeight="1">
      <c r="D968" s="145"/>
      <c r="H968" s="142"/>
    </row>
    <row r="969" ht="15.75" customHeight="1">
      <c r="D969" s="145"/>
      <c r="H969" s="142"/>
    </row>
    <row r="970" ht="15.75" customHeight="1">
      <c r="D970" s="145"/>
      <c r="H970" s="142"/>
    </row>
    <row r="971" ht="15.75" customHeight="1">
      <c r="D971" s="145"/>
      <c r="H971" s="142"/>
    </row>
    <row r="972" ht="15.75" customHeight="1">
      <c r="D972" s="145"/>
      <c r="H972" s="142"/>
    </row>
    <row r="973" ht="15.75" customHeight="1">
      <c r="D973" s="145"/>
      <c r="H973" s="142"/>
    </row>
    <row r="974" ht="15.75" customHeight="1">
      <c r="D974" s="145"/>
      <c r="H974" s="142"/>
    </row>
    <row r="975" ht="15.75" customHeight="1">
      <c r="D975" s="145"/>
      <c r="H975" s="142"/>
    </row>
    <row r="976" ht="15.75" customHeight="1">
      <c r="D976" s="145"/>
      <c r="H976" s="142"/>
    </row>
    <row r="977" ht="15.75" customHeight="1">
      <c r="D977" s="145"/>
      <c r="H977" s="142"/>
    </row>
    <row r="978" ht="15.75" customHeight="1">
      <c r="D978" s="145"/>
      <c r="H978" s="142"/>
    </row>
    <row r="979" ht="15.75" customHeight="1">
      <c r="D979" s="145"/>
      <c r="H979" s="142"/>
    </row>
    <row r="980" ht="15.75" customHeight="1">
      <c r="D980" s="145"/>
      <c r="H980" s="142"/>
    </row>
    <row r="981" ht="15.75" customHeight="1">
      <c r="D981" s="145"/>
      <c r="H981" s="142"/>
    </row>
    <row r="982" ht="15.75" customHeight="1">
      <c r="D982" s="145"/>
      <c r="H982" s="142"/>
    </row>
    <row r="983" ht="15.75" customHeight="1">
      <c r="D983" s="145"/>
      <c r="H983" s="142"/>
    </row>
    <row r="984" ht="15.75" customHeight="1">
      <c r="D984" s="145"/>
      <c r="H984" s="142"/>
    </row>
    <row r="985" ht="15.75" customHeight="1">
      <c r="D985" s="145"/>
      <c r="H985" s="142"/>
    </row>
    <row r="986" ht="15.75" customHeight="1">
      <c r="D986" s="145"/>
      <c r="H986" s="142"/>
    </row>
    <row r="987" ht="15.75" customHeight="1">
      <c r="D987" s="145"/>
      <c r="H987" s="142"/>
    </row>
    <row r="988" ht="15.75" customHeight="1">
      <c r="D988" s="145"/>
      <c r="H988" s="142"/>
    </row>
    <row r="989" ht="15.75" customHeight="1">
      <c r="D989" s="145"/>
      <c r="H989" s="142"/>
    </row>
    <row r="990" ht="15.75" customHeight="1">
      <c r="D990" s="145"/>
      <c r="H990" s="142"/>
    </row>
    <row r="991" ht="15.75" customHeight="1">
      <c r="D991" s="145"/>
      <c r="H991" s="142"/>
    </row>
    <row r="992" ht="15.75" customHeight="1">
      <c r="D992" s="145"/>
      <c r="H992" s="142"/>
    </row>
    <row r="993" ht="15.75" customHeight="1">
      <c r="D993" s="145"/>
      <c r="H993" s="142"/>
    </row>
    <row r="994" ht="15.75" customHeight="1">
      <c r="D994" s="145"/>
      <c r="H994" s="142"/>
    </row>
    <row r="995" ht="15.75" customHeight="1">
      <c r="D995" s="145"/>
      <c r="H995" s="142"/>
    </row>
    <row r="996" ht="15.75" customHeight="1">
      <c r="D996" s="145"/>
      <c r="H996" s="142"/>
    </row>
    <row r="997" ht="15.75" customHeight="1">
      <c r="D997" s="145"/>
      <c r="H997" s="142"/>
    </row>
    <row r="998" ht="15.75" customHeight="1">
      <c r="D998" s="145"/>
      <c r="H998" s="142"/>
    </row>
    <row r="999" ht="15.75" customHeight="1">
      <c r="D999" s="145"/>
      <c r="H999" s="142"/>
    </row>
    <row r="1000" ht="15.75" customHeight="1">
      <c r="D1000" s="145"/>
      <c r="H1000" s="142"/>
    </row>
  </sheetData>
  <mergeCells count="21">
    <mergeCell ref="B2:F2"/>
    <mergeCell ref="B3:F3"/>
    <mergeCell ref="B4:F4"/>
    <mergeCell ref="E5:F5"/>
    <mergeCell ref="E6:F6"/>
    <mergeCell ref="A11:A13"/>
    <mergeCell ref="B11:B13"/>
    <mergeCell ref="A22:A23"/>
    <mergeCell ref="A24:A25"/>
    <mergeCell ref="A26:A27"/>
    <mergeCell ref="A28:A29"/>
    <mergeCell ref="B24:B25"/>
    <mergeCell ref="B26:B27"/>
    <mergeCell ref="B28:B29"/>
    <mergeCell ref="A15:A17"/>
    <mergeCell ref="B15:B17"/>
    <mergeCell ref="A18:A19"/>
    <mergeCell ref="B18:B19"/>
    <mergeCell ref="A20:A21"/>
    <mergeCell ref="B20:B21"/>
    <mergeCell ref="B22:B23"/>
  </mergeCells>
  <dataValidations>
    <dataValidation type="list" allowBlank="1" showInputMessage="1" showErrorMessage="1" prompt=" -  - " sqref="F154:F294">
      <formula1>$I$2:$I$6</formula1>
    </dataValidation>
    <dataValidation type="list" allowBlank="1" showInputMessage="1" showErrorMessage="1" prompt=" - " sqref="F1 F7:F49 F51:F81 F84:F95 F97:F125 F128:F129 F131:F153">
      <formula1>$I$2:$I$6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0"/>
    <col customWidth="1" min="7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5.88"/>
    <col customWidth="1" min="3" max="3" width="44.13"/>
    <col customWidth="1" min="4" max="4" width="5.25"/>
    <col customWidth="1" min="5" max="5" width="6.13"/>
    <col customWidth="1" min="6" max="6" width="9.25"/>
    <col customWidth="1" min="7" max="7" width="4.63"/>
    <col customWidth="1" min="8" max="8" width="37.38"/>
    <col customWidth="1" min="9" max="9" width="33.13"/>
    <col customWidth="1" min="10" max="18" width="9.0"/>
    <col customWidth="1" min="19" max="26" width="8.0"/>
  </cols>
  <sheetData>
    <row r="1" ht="16.5" customHeight="1">
      <c r="A1" s="11"/>
      <c r="B1" s="146" t="s">
        <v>399</v>
      </c>
      <c r="C1" s="147"/>
      <c r="D1" s="147"/>
      <c r="E1" s="147"/>
      <c r="F1" s="147"/>
      <c r="G1" s="147"/>
      <c r="H1" s="14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49"/>
      <c r="B2" s="149"/>
      <c r="C2" s="11"/>
      <c r="D2" s="11"/>
      <c r="E2" s="11"/>
      <c r="F2" s="11"/>
      <c r="G2" s="11"/>
      <c r="H2" s="15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75" customHeight="1">
      <c r="A3" s="11"/>
      <c r="B3" s="12" t="s">
        <v>1</v>
      </c>
      <c r="C3" s="85" t="s">
        <v>400</v>
      </c>
      <c r="D3" s="7"/>
      <c r="E3" s="151" t="s">
        <v>3</v>
      </c>
      <c r="F3" s="7"/>
      <c r="G3" s="152"/>
      <c r="H3" s="153" t="s">
        <v>401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1"/>
      <c r="B4" s="12" t="s">
        <v>5</v>
      </c>
      <c r="C4" s="58" t="s">
        <v>6</v>
      </c>
      <c r="D4" s="7"/>
      <c r="E4" s="151" t="s">
        <v>7</v>
      </c>
      <c r="F4" s="7"/>
      <c r="G4" s="152"/>
      <c r="H4" s="15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1"/>
      <c r="B5" s="154" t="s">
        <v>8</v>
      </c>
      <c r="C5" s="58" t="str">
        <f>C4&amp;"_"&amp;"Test Report"&amp;"_"&amp;"v2.0"</f>
        <v>SE04_Test Report_v2.0</v>
      </c>
      <c r="D5" s="7"/>
      <c r="E5" s="151" t="s">
        <v>9</v>
      </c>
      <c r="F5" s="7"/>
      <c r="G5" s="152"/>
      <c r="H5" s="155">
        <v>42982.0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49"/>
      <c r="B6" s="154" t="s">
        <v>402</v>
      </c>
      <c r="C6" s="156"/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49"/>
      <c r="B7" s="28"/>
      <c r="C7" s="157"/>
      <c r="D7" s="11"/>
      <c r="E7" s="11"/>
      <c r="F7" s="11"/>
      <c r="G7" s="11"/>
      <c r="H7" s="15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1"/>
      <c r="B8" s="28"/>
      <c r="C8" s="157"/>
      <c r="D8" s="11"/>
      <c r="E8" s="11"/>
      <c r="F8" s="11"/>
      <c r="G8" s="11"/>
      <c r="H8" s="15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58"/>
      <c r="B10" s="159" t="s">
        <v>27</v>
      </c>
      <c r="C10" s="160" t="s">
        <v>403</v>
      </c>
      <c r="D10" s="161" t="s">
        <v>53</v>
      </c>
      <c r="E10" s="160" t="s">
        <v>54</v>
      </c>
      <c r="F10" s="160" t="s">
        <v>55</v>
      </c>
      <c r="G10" s="162" t="s">
        <v>56</v>
      </c>
      <c r="H10" s="163" t="s">
        <v>404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1"/>
      <c r="B11" s="164">
        <v>1.0</v>
      </c>
      <c r="C11" s="165" t="str">
        <f>'Quản lí cán bộ'!B2</f>
        <v>Quản lí cán bộ</v>
      </c>
      <c r="D11" s="165">
        <f>'Quản lí cán bộ'!A6</f>
        <v>0</v>
      </c>
      <c r="E11" s="165">
        <f>'Quản lí cán bộ'!B6</f>
        <v>0</v>
      </c>
      <c r="F11" s="165">
        <f>'Quản lí cán bộ'!C6</f>
        <v>104</v>
      </c>
      <c r="G11" s="165">
        <f>'Quản lí cán bộ'!D6</f>
        <v>0</v>
      </c>
      <c r="H11" s="165">
        <f>'Quản lí cán bộ'!E6</f>
        <v>104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1"/>
      <c r="B12" s="164">
        <v>2.0</v>
      </c>
      <c r="C12" s="165"/>
      <c r="D12" s="166"/>
      <c r="E12" s="166"/>
      <c r="F12" s="166"/>
      <c r="G12" s="166"/>
      <c r="H12" s="16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1"/>
      <c r="B13" s="164">
        <v>3.0</v>
      </c>
      <c r="C13" s="165"/>
      <c r="D13" s="166"/>
      <c r="E13" s="166"/>
      <c r="F13" s="166"/>
      <c r="G13" s="166"/>
      <c r="H13" s="16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1"/>
      <c r="B14" s="164">
        <v>4.0</v>
      </c>
      <c r="C14" s="165"/>
      <c r="D14" s="166"/>
      <c r="E14" s="166"/>
      <c r="F14" s="166"/>
      <c r="G14" s="166"/>
      <c r="H14" s="166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58"/>
      <c r="B15" s="167"/>
      <c r="C15" s="168" t="s">
        <v>405</v>
      </c>
      <c r="D15" s="169">
        <f t="shared" ref="D15:H15" si="1">SUM(D11:D14)</f>
        <v>0</v>
      </c>
      <c r="E15" s="169">
        <f t="shared" si="1"/>
        <v>0</v>
      </c>
      <c r="F15" s="169">
        <f t="shared" si="1"/>
        <v>104</v>
      </c>
      <c r="G15" s="169">
        <f t="shared" si="1"/>
        <v>0</v>
      </c>
      <c r="H15" s="170">
        <f t="shared" si="1"/>
        <v>104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58"/>
      <c r="B16" s="171"/>
      <c r="C16" s="11"/>
      <c r="D16" s="172"/>
      <c r="E16" s="173"/>
      <c r="F16" s="173"/>
      <c r="G16" s="173"/>
      <c r="H16" s="17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158"/>
      <c r="B17" s="11"/>
      <c r="C17" s="9" t="s">
        <v>406</v>
      </c>
      <c r="D17" s="11"/>
      <c r="E17" s="174">
        <f>(D15+E15)*100/(H15-G15)</f>
        <v>0</v>
      </c>
      <c r="F17" s="11" t="s">
        <v>407</v>
      </c>
      <c r="G17" s="11"/>
      <c r="H17" s="104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158"/>
      <c r="B18" s="11"/>
      <c r="C18" s="9" t="s">
        <v>408</v>
      </c>
      <c r="D18" s="11"/>
      <c r="E18" s="174">
        <f>D15*100/(H15-G15)</f>
        <v>0</v>
      </c>
      <c r="F18" s="11" t="s">
        <v>407</v>
      </c>
      <c r="G18" s="11"/>
      <c r="H18" s="104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5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15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15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15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15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15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15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5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15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5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15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5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5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5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5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5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5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5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5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5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5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5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5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5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5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5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5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5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5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5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5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5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5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2017-04-07T16:51:47Z</dcterms:created>
  <dc:creator>102130159@sv.dut.edu.vn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